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ristian Bonilla\Desktop\Sistema-Contable\"/>
    </mc:Choice>
  </mc:AlternateContent>
  <xr:revisionPtr revIDLastSave="0" documentId="13_ncr:1_{EBA303BE-D331-4ECC-89D3-50C86260B901}" xr6:coauthVersionLast="47" xr6:coauthVersionMax="47" xr10:uidLastSave="{00000000-0000-0000-0000-000000000000}"/>
  <bookViews>
    <workbookView xWindow="-120" yWindow="-120" windowWidth="20730" windowHeight="11160" activeTab="3" xr2:uid="{BDA0CC10-883D-4711-8EC0-1FB816A60940}"/>
  </bookViews>
  <sheets>
    <sheet name="INICIO" sheetId="1" r:id="rId1"/>
    <sheet name="Inventario" sheetId="5" r:id="rId2"/>
    <sheet name="Registro MOD" sheetId="10" r:id="rId3"/>
    <sheet name="Hoja de Costos" sheetId="12" r:id="rId4"/>
    <sheet name="Ventas" sheetId="2" r:id="rId5"/>
    <sheet name="Gastos" sheetId="4" r:id="rId6"/>
    <sheet name="IVA Registro" sheetId="7" r:id="rId7"/>
    <sheet name="Estados Financieros" sheetId="9" r:id="rId8"/>
    <sheet name="Configuracion" sheetId="6" r:id="rId9"/>
  </sheet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6" l="1"/>
  <c r="D3" i="6" s="1"/>
  <c r="D4" i="6" s="1"/>
  <c r="D5" i="6" s="1"/>
  <c r="D6" i="6" s="1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</calcChain>
</file>

<file path=xl/sharedStrings.xml><?xml version="1.0" encoding="utf-8"?>
<sst xmlns="http://schemas.openxmlformats.org/spreadsheetml/2006/main" count="193" uniqueCount="98">
  <si>
    <t>Cliente</t>
  </si>
  <si>
    <t>Ingreso</t>
  </si>
  <si>
    <t>Costo de lo Vendido</t>
  </si>
  <si>
    <t>Fecha</t>
  </si>
  <si>
    <t>Costo de 
lo Vendido</t>
  </si>
  <si>
    <t>Pepe</t>
  </si>
  <si>
    <t>Fecha de Compra</t>
  </si>
  <si>
    <t>Historial de Ventas</t>
  </si>
  <si>
    <t>`</t>
  </si>
  <si>
    <t>Registro</t>
  </si>
  <si>
    <t>Producto</t>
  </si>
  <si>
    <t>tabletas de chocolate</t>
  </si>
  <si>
    <t>chocolate en polvo (bolsa)</t>
  </si>
  <si>
    <t>jalea de chocolate</t>
  </si>
  <si>
    <t>Cantidad</t>
  </si>
  <si>
    <t>Precio Unitario</t>
  </si>
  <si>
    <t>Tipo/proceso</t>
  </si>
  <si>
    <t>Compra</t>
  </si>
  <si>
    <t>Uso</t>
  </si>
  <si>
    <t>stock</t>
  </si>
  <si>
    <t>total</t>
  </si>
  <si>
    <t>Cacao</t>
  </si>
  <si>
    <t>Registro de compras/Usos</t>
  </si>
  <si>
    <t>Registrar Gasto</t>
  </si>
  <si>
    <t>Tipo de gasto</t>
  </si>
  <si>
    <t>Descripcion</t>
  </si>
  <si>
    <t>Monto</t>
  </si>
  <si>
    <t>Registro de Gastos</t>
  </si>
  <si>
    <t>Servicio</t>
  </si>
  <si>
    <t>Desinversion</t>
  </si>
  <si>
    <t>Total</t>
  </si>
  <si>
    <t>Tipo</t>
  </si>
  <si>
    <t>Monto base</t>
  </si>
  <si>
    <t>IVA(13%)</t>
  </si>
  <si>
    <t>Activo Co</t>
  </si>
  <si>
    <t>Materia Prima</t>
  </si>
  <si>
    <t>Pago Alquiler</t>
  </si>
  <si>
    <t>Pago Salario</t>
  </si>
  <si>
    <t>Registro de IVA Cred. Fiscal</t>
  </si>
  <si>
    <t>Registro de IVA Deb. Fiscal</t>
  </si>
  <si>
    <t>Registrar en Inventario</t>
  </si>
  <si>
    <t>Grupo Callejas</t>
  </si>
  <si>
    <t>Categoría de Material</t>
  </si>
  <si>
    <t>Descripción</t>
  </si>
  <si>
    <t>Cacao y derivados</t>
  </si>
  <si>
    <t>Cacao en grano, pasta/licor de cacao, manteca de cacao, polvo de cacao</t>
  </si>
  <si>
    <t>Endulzantes</t>
  </si>
  <si>
    <t>Azúcar, miel, glucosa, otros edulcorantes</t>
  </si>
  <si>
    <t>Lácteos y emulsionantes</t>
  </si>
  <si>
    <t>Leche en polvo, crema, lecitina de soya</t>
  </si>
  <si>
    <t>Saborizantes</t>
  </si>
  <si>
    <t>Vainilla, canela, sal, especias</t>
  </si>
  <si>
    <t>Material de empaque</t>
  </si>
  <si>
    <t>Bolsas, frascos, papel aluminio, etiquetas, cajas</t>
  </si>
  <si>
    <t>Insumos auxiliares</t>
  </si>
  <si>
    <t>Guantes, productos de limpieza, materiales indirectos</t>
  </si>
  <si>
    <t>Lote N°</t>
  </si>
  <si>
    <t>Trabajador</t>
  </si>
  <si>
    <t>Horas trabajadas</t>
  </si>
  <si>
    <t>Tarifa x Hora ($)</t>
  </si>
  <si>
    <t>Costo MOD</t>
  </si>
  <si>
    <t>Registro de MOD por Lote</t>
  </si>
  <si>
    <t>Suma de Costo MOD</t>
  </si>
  <si>
    <t>Total general</t>
  </si>
  <si>
    <t>Suma de Horas trabajadas</t>
  </si>
  <si>
    <t>(Todas)</t>
  </si>
  <si>
    <t>Lote N</t>
  </si>
  <si>
    <t>Boleta de Trabajo</t>
  </si>
  <si>
    <t>Empleado</t>
  </si>
  <si>
    <t>Tarifa x Hora($)</t>
  </si>
  <si>
    <t>Sonia</t>
  </si>
  <si>
    <t xml:space="preserve">Maria </t>
  </si>
  <si>
    <t>Jose</t>
  </si>
  <si>
    <t>Tito</t>
  </si>
  <si>
    <t>Horario</t>
  </si>
  <si>
    <t>8AM-4PM</t>
  </si>
  <si>
    <t>Materiales</t>
  </si>
  <si>
    <t>MOD</t>
  </si>
  <si>
    <t>CIF</t>
  </si>
  <si>
    <t>Material</t>
  </si>
  <si>
    <t>Tasa x C.P</t>
  </si>
  <si>
    <t>Total CIF</t>
  </si>
  <si>
    <t>Totales</t>
  </si>
  <si>
    <t>Fecha de Expedicion:</t>
  </si>
  <si>
    <t>Costo Unitario:</t>
  </si>
  <si>
    <t>Costo Total:</t>
  </si>
  <si>
    <t>Lote N:</t>
  </si>
  <si>
    <t>Fecha de Entrega:</t>
  </si>
  <si>
    <t>Producto:</t>
  </si>
  <si>
    <t>Cantidad:</t>
  </si>
  <si>
    <t>Historial de Ordenes de Fabricacion</t>
  </si>
  <si>
    <t>Fecha de entrega</t>
  </si>
  <si>
    <t>Fecha de expedicion</t>
  </si>
  <si>
    <t xml:space="preserve"> Materiales Monto</t>
  </si>
  <si>
    <t>MOD Monto</t>
  </si>
  <si>
    <t>CIF Monto</t>
  </si>
  <si>
    <t>Costo de Produccion</t>
  </si>
  <si>
    <t>Costo Unitario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</si>
</sst>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* #,##0.00_-;\-&quot;$&quot;* #,##0.00_-;_-@_-"/>
  </numFmts>
  <fonts count="14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Arial Narrow"/>
      <family val="2"/>
    </font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rgb="FFFBF5E9"/>
      <name val="Arial Narrow"/>
      <family val="2"/>
    </font>
    <font>
      <sz val="12"/>
      <color rgb="FFF9F9F9"/>
      <name val="Arial Narrow"/>
      <family val="2"/>
    </font>
    <font>
      <b/>
      <sz val="12"/>
      <color rgb="FFFBF5E9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 Narrow"/>
      <family val="2"/>
    </font>
    <font>
      <b/>
      <sz val="12"/>
      <color rgb="FFF9F9F9"/>
      <name val="Arial Narrow"/>
      <family val="2"/>
    </font>
    <font>
      <b/>
      <sz val="12"/>
      <color theme="1"/>
      <name val="Arial Narrow"/>
      <family val="2"/>
    </font>
    <font>
      <sz val="11"/>
      <color rgb="FF000000"/>
      <name val="Calibri"/>
      <family val="2"/>
    </font>
    <font>
      <sz val="14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E813E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E853E"/>
        <bgColor indexed="64"/>
      </patternFill>
    </fill>
    <fill>
      <patternFill patternType="solid">
        <fgColor rgb="FFEF8D4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FA5A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 applyProtection="1"/>
    <xf numFmtId="14" fontId="0" fillId="0" borderId="0" xfId="0" applyNumberFormat="1"/>
    <xf numFmtId="0" fontId="4" fillId="8" borderId="0" xfId="0" applyFont="1" applyFill="1"/>
    <xf numFmtId="0" fontId="4" fillId="7" borderId="1" xfId="0" applyFont="1" applyFill="1" applyBorder="1"/>
    <xf numFmtId="0" fontId="4" fillId="7" borderId="1" xfId="0" applyFont="1" applyFill="1" applyBorder="1" applyAlignment="1">
      <alignment wrapText="1"/>
    </xf>
    <xf numFmtId="0" fontId="4" fillId="8" borderId="0" xfId="0" applyFont="1" applyFill="1" applyAlignment="1">
      <alignment horizontal="center" vertical="center" wrapText="1"/>
    </xf>
    <xf numFmtId="14" fontId="4" fillId="7" borderId="1" xfId="0" applyNumberFormat="1" applyFont="1" applyFill="1" applyBorder="1"/>
    <xf numFmtId="44" fontId="4" fillId="7" borderId="1" xfId="1" applyFont="1" applyFill="1" applyBorder="1"/>
    <xf numFmtId="0" fontId="6" fillId="6" borderId="1" xfId="0" applyFont="1" applyFill="1" applyBorder="1" applyAlignment="1">
      <alignment horizontal="left" vertical="center"/>
    </xf>
    <xf numFmtId="0" fontId="0" fillId="8" borderId="0" xfId="0" applyFill="1"/>
    <xf numFmtId="0" fontId="7" fillId="6" borderId="5" xfId="0" applyFont="1" applyFill="1" applyBorder="1" applyAlignment="1">
      <alignment horizontal="center" vertical="center"/>
    </xf>
    <xf numFmtId="14" fontId="4" fillId="8" borderId="0" xfId="0" applyNumberFormat="1" applyFont="1" applyFill="1" applyBorder="1" applyAlignment="1">
      <alignment horizontal="center" vertical="center"/>
    </xf>
    <xf numFmtId="0" fontId="5" fillId="8" borderId="0" xfId="0" applyFont="1" applyFill="1" applyBorder="1"/>
    <xf numFmtId="0" fontId="7" fillId="8" borderId="0" xfId="0" applyFont="1" applyFill="1" applyBorder="1" applyAlignment="1">
      <alignment horizontal="center" vertical="center"/>
    </xf>
    <xf numFmtId="14" fontId="7" fillId="8" borderId="0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left" vertical="center"/>
    </xf>
    <xf numFmtId="0" fontId="4" fillId="5" borderId="0" xfId="0" applyFont="1" applyFill="1"/>
    <xf numFmtId="0" fontId="2" fillId="6" borderId="1" xfId="0" applyFont="1" applyFill="1" applyBorder="1"/>
    <xf numFmtId="0" fontId="4" fillId="7" borderId="1" xfId="1" applyNumberFormat="1" applyFont="1" applyFill="1" applyBorder="1"/>
    <xf numFmtId="0" fontId="4" fillId="5" borderId="0" xfId="0" applyFont="1" applyFill="1" applyAlignment="1">
      <alignment horizontal="center" vertical="center"/>
    </xf>
    <xf numFmtId="0" fontId="4" fillId="4" borderId="0" xfId="0" applyFont="1" applyFill="1"/>
    <xf numFmtId="0" fontId="2" fillId="4" borderId="0" xfId="0" applyFont="1" applyFill="1" applyBorder="1"/>
    <xf numFmtId="0" fontId="2" fillId="5" borderId="0" xfId="0" applyFont="1" applyFill="1" applyBorder="1"/>
    <xf numFmtId="14" fontId="4" fillId="5" borderId="0" xfId="0" applyNumberFormat="1" applyFont="1" applyFill="1" applyBorder="1"/>
    <xf numFmtId="0" fontId="4" fillId="5" borderId="0" xfId="0" applyFont="1" applyFill="1" applyBorder="1"/>
    <xf numFmtId="0" fontId="2" fillId="6" borderId="5" xfId="0" applyFont="1" applyFill="1" applyBorder="1" applyAlignment="1">
      <alignment horizontal="left" vertical="center"/>
    </xf>
    <xf numFmtId="44" fontId="4" fillId="5" borderId="0" xfId="1" applyFont="1" applyFill="1" applyAlignment="1">
      <alignment horizontal="center" vertical="center"/>
    </xf>
    <xf numFmtId="0" fontId="4" fillId="0" borderId="0" xfId="0" applyFont="1"/>
    <xf numFmtId="0" fontId="4" fillId="0" borderId="1" xfId="0" applyFont="1" applyBorder="1"/>
    <xf numFmtId="44" fontId="4" fillId="0" borderId="1" xfId="1" applyFont="1" applyBorder="1"/>
    <xf numFmtId="14" fontId="4" fillId="0" borderId="1" xfId="1" applyNumberFormat="1" applyFont="1" applyBorder="1" applyAlignment="1">
      <alignment horizontal="center" vertical="center" wrapText="1"/>
    </xf>
    <xf numFmtId="14" fontId="4" fillId="0" borderId="1" xfId="1" applyNumberFormat="1" applyFont="1" applyBorder="1"/>
    <xf numFmtId="0" fontId="4" fillId="0" borderId="0" xfId="0" applyFont="1" applyBorder="1"/>
    <xf numFmtId="44" fontId="4" fillId="0" borderId="0" xfId="1" applyFont="1" applyBorder="1"/>
    <xf numFmtId="14" fontId="4" fillId="0" borderId="0" xfId="1" applyNumberFormat="1" applyFont="1" applyBorder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Fill="1" applyBorder="1"/>
    <xf numFmtId="44" fontId="4" fillId="0" borderId="0" xfId="1" applyFont="1" applyFill="1" applyBorder="1"/>
    <xf numFmtId="1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4" fillId="8" borderId="0" xfId="0" applyFont="1" applyFill="1" applyAlignment="1">
      <alignment wrapText="1"/>
    </xf>
    <xf numFmtId="14" fontId="4" fillId="8" borderId="0" xfId="0" applyNumberFormat="1" applyFont="1" applyFill="1"/>
    <xf numFmtId="44" fontId="7" fillId="8" borderId="0" xfId="1" applyFont="1" applyFill="1" applyBorder="1" applyAlignment="1">
      <alignment horizontal="center" vertical="center"/>
    </xf>
    <xf numFmtId="44" fontId="0" fillId="8" borderId="0" xfId="1" applyFont="1" applyFill="1"/>
    <xf numFmtId="44" fontId="4" fillId="8" borderId="0" xfId="1" applyFont="1" applyFill="1"/>
    <xf numFmtId="44" fontId="4" fillId="8" borderId="0" xfId="1" applyFont="1" applyFill="1" applyAlignment="1">
      <alignment wrapText="1"/>
    </xf>
    <xf numFmtId="44" fontId="4" fillId="8" borderId="0" xfId="1" applyFont="1" applyFill="1" applyBorder="1"/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2" fillId="6" borderId="3" xfId="0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3" xfId="0" applyFont="1" applyFill="1" applyBorder="1"/>
    <xf numFmtId="44" fontId="4" fillId="0" borderId="1" xfId="1" applyFont="1" applyFill="1" applyBorder="1"/>
    <xf numFmtId="14" fontId="4" fillId="0" borderId="1" xfId="1" applyNumberFormat="1" applyFont="1" applyFill="1" applyBorder="1" applyAlignment="1">
      <alignment horizontal="center" vertical="center" wrapText="1"/>
    </xf>
    <xf numFmtId="14" fontId="4" fillId="0" borderId="1" xfId="1" applyNumberFormat="1" applyFont="1" applyFill="1" applyBorder="1"/>
    <xf numFmtId="0" fontId="4" fillId="0" borderId="0" xfId="0" applyFont="1" applyAlignment="1">
      <alignment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4" fillId="0" borderId="1" xfId="1" applyNumberFormat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4" fillId="0" borderId="1" xfId="1" applyFont="1" applyBorder="1" applyAlignment="1">
      <alignment horizontal="center" vertical="center"/>
    </xf>
    <xf numFmtId="164" fontId="4" fillId="0" borderId="0" xfId="1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6" borderId="1" xfId="0" applyFont="1" applyFill="1" applyBorder="1"/>
    <xf numFmtId="0" fontId="5" fillId="6" borderId="0" xfId="0" applyFont="1" applyFill="1"/>
    <xf numFmtId="0" fontId="6" fillId="3" borderId="5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14" fontId="4" fillId="0" borderId="0" xfId="0" applyNumberFormat="1" applyFont="1"/>
    <xf numFmtId="44" fontId="4" fillId="0" borderId="0" xfId="1" applyFont="1"/>
    <xf numFmtId="9" fontId="4" fillId="0" borderId="0" xfId="0" applyNumberFormat="1" applyFont="1"/>
    <xf numFmtId="164" fontId="4" fillId="0" borderId="0" xfId="0" applyNumberFormat="1" applyFont="1"/>
    <xf numFmtId="0" fontId="11" fillId="0" borderId="0" xfId="0" applyFont="1"/>
    <xf numFmtId="0" fontId="11" fillId="9" borderId="0" xfId="0" applyFont="1" applyFill="1"/>
    <xf numFmtId="14" fontId="4" fillId="9" borderId="0" xfId="0" applyNumberFormat="1" applyFont="1" applyFill="1"/>
    <xf numFmtId="0" fontId="11" fillId="10" borderId="0" xfId="0" applyFont="1" applyFill="1"/>
    <xf numFmtId="14" fontId="4" fillId="10" borderId="0" xfId="0" applyNumberFormat="1" applyFont="1" applyFill="1"/>
    <xf numFmtId="0" fontId="11" fillId="11" borderId="0" xfId="0" applyFont="1" applyFill="1"/>
    <xf numFmtId="0" fontId="11" fillId="12" borderId="0" xfId="0" applyFont="1" applyFill="1"/>
    <xf numFmtId="0" fontId="11" fillId="13" borderId="0" xfId="0" applyFont="1" applyFill="1"/>
    <xf numFmtId="0" fontId="4" fillId="13" borderId="0" xfId="0" applyFont="1" applyFill="1"/>
    <xf numFmtId="0" fontId="11" fillId="14" borderId="0" xfId="0" applyFont="1" applyFill="1"/>
    <xf numFmtId="0" fontId="4" fillId="14" borderId="0" xfId="0" applyFont="1" applyFill="1" applyAlignment="1">
      <alignment horizontal="center" vertical="center"/>
    </xf>
    <xf numFmtId="0" fontId="11" fillId="0" borderId="0" xfId="0" applyFont="1" applyFill="1"/>
    <xf numFmtId="0" fontId="4" fillId="0" borderId="0" xfId="0" applyFont="1" applyFill="1" applyAlignment="1">
      <alignment horizontal="center" vertical="center"/>
    </xf>
    <xf numFmtId="0" fontId="4" fillId="0" borderId="0" xfId="0" applyFont="1" applyFill="1"/>
    <xf numFmtId="0" fontId="11" fillId="15" borderId="0" xfId="0" applyFont="1" applyFill="1"/>
    <xf numFmtId="0" fontId="4" fillId="15" borderId="0" xfId="0" applyNumberFormat="1" applyFont="1" applyFill="1" applyAlignment="1">
      <alignment horizontal="center" vertical="center"/>
    </xf>
    <xf numFmtId="164" fontId="4" fillId="12" borderId="0" xfId="1" applyNumberFormat="1" applyFont="1" applyFill="1"/>
    <xf numFmtId="164" fontId="4" fillId="11" borderId="0" xfId="1" applyNumberFormat="1" applyFont="1" applyFill="1"/>
    <xf numFmtId="0" fontId="9" fillId="3" borderId="5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44" fontId="9" fillId="3" borderId="5" xfId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4" fillId="0" borderId="0" xfId="1" applyNumberFormat="1" applyFont="1"/>
  </cellXfs>
  <cellStyles count="2">
    <cellStyle name="Moneda" xfId="1" builtinId="4"/>
    <cellStyle name="Normal" xfId="0" builtinId="0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BF5E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EE853E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BF5E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F9F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rgb="FFDF661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64" formatCode="_-&quot;$&quot;* #,##0.00_-;\-&quot;$&quot;* #,##0.00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numFmt numFmtId="0" formatCode="General"/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F6613"/>
      <color rgb="FFEFA5A5"/>
      <color rgb="FFEF8D4B"/>
      <color rgb="FFF9F9F9"/>
      <color rgb="FFFBF5E9"/>
      <color rgb="FFEE853E"/>
      <color rgb="FFE0E0E0"/>
      <color rgb="FFEE813E"/>
      <color rgb="FFEF85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Inventario!$E$15</c:f>
              <c:strCache>
                <c:ptCount val="1"/>
                <c:pt idx="0">
                  <c:v>Cantidad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Inventario!$E$16:$E$26</c:f>
              <c:numCache>
                <c:formatCode>General</c:formatCode>
                <c:ptCount val="11"/>
                <c:pt idx="0">
                  <c:v>200</c:v>
                </c:pt>
                <c:pt idx="1">
                  <c:v>300</c:v>
                </c:pt>
                <c:pt idx="2">
                  <c:v>500</c:v>
                </c:pt>
                <c:pt idx="3">
                  <c:v>450</c:v>
                </c:pt>
                <c:pt idx="4">
                  <c:v>250</c:v>
                </c:pt>
                <c:pt idx="5">
                  <c:v>100</c:v>
                </c:pt>
                <c:pt idx="6">
                  <c:v>700</c:v>
                </c:pt>
                <c:pt idx="7">
                  <c:v>250</c:v>
                </c:pt>
                <c:pt idx="8">
                  <c:v>300</c:v>
                </c:pt>
                <c:pt idx="9">
                  <c:v>250</c:v>
                </c:pt>
                <c:pt idx="1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8D-41A1-9258-E6EA65C3CBF7}"/>
            </c:ext>
          </c:extLst>
        </c:ser>
        <c:ser>
          <c:idx val="1"/>
          <c:order val="1"/>
          <c:tx>
            <c:strRef>
              <c:f>Inventario!$F$15</c:f>
              <c:strCache>
                <c:ptCount val="1"/>
                <c:pt idx="0">
                  <c:v>Precio Unitario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Inventario!$F$16:$F$26</c:f>
              <c:numCache>
                <c:formatCode>_("$"* #,##0.00_);_("$"* \(#,##0.00\);_("$"* "-"??_);_(@_)</c:formatCode>
                <c:ptCount val="11"/>
                <c:pt idx="0">
                  <c:v>2.5</c:v>
                </c:pt>
                <c:pt idx="1">
                  <c:v>1.5</c:v>
                </c:pt>
                <c:pt idx="2">
                  <c:v>1.5</c:v>
                </c:pt>
                <c:pt idx="3">
                  <c:v>1.25</c:v>
                </c:pt>
                <c:pt idx="4">
                  <c:v>2.5</c:v>
                </c:pt>
                <c:pt idx="5">
                  <c:v>4.5</c:v>
                </c:pt>
                <c:pt idx="6">
                  <c:v>1.5</c:v>
                </c:pt>
                <c:pt idx="8">
                  <c:v>7.5</c:v>
                </c:pt>
                <c:pt idx="9">
                  <c:v>3.75</c:v>
                </c:pt>
                <c:pt idx="10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8D-41A1-9258-E6EA65C3CBF7}"/>
            </c:ext>
          </c:extLst>
        </c:ser>
        <c:ser>
          <c:idx val="2"/>
          <c:order val="2"/>
          <c:tx>
            <c:strRef>
              <c:f>Inventario!$G$15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Inventario!$G$16:$G$26</c:f>
              <c:numCache>
                <c:formatCode>_("$"* #,##0.00_);_("$"* \(#,##0.00\);_("$"* "-"??_);_(@_)</c:formatCode>
                <c:ptCount val="11"/>
                <c:pt idx="0">
                  <c:v>-500</c:v>
                </c:pt>
                <c:pt idx="1">
                  <c:v>-450</c:v>
                </c:pt>
                <c:pt idx="2">
                  <c:v>750</c:v>
                </c:pt>
                <c:pt idx="3">
                  <c:v>562.5</c:v>
                </c:pt>
                <c:pt idx="4">
                  <c:v>625</c:v>
                </c:pt>
                <c:pt idx="5">
                  <c:v>450</c:v>
                </c:pt>
                <c:pt idx="6">
                  <c:v>1050</c:v>
                </c:pt>
                <c:pt idx="8">
                  <c:v>2250</c:v>
                </c:pt>
                <c:pt idx="9">
                  <c:v>937.5</c:v>
                </c:pt>
                <c:pt idx="10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B8D-41A1-9258-E6EA65C3CBF7}"/>
            </c:ext>
          </c:extLst>
        </c:ser>
        <c:ser>
          <c:idx val="3"/>
          <c:order val="3"/>
          <c:tx>
            <c:strRef>
              <c:f>Inventario!$H$15</c:f>
              <c:strCache>
                <c:ptCount val="1"/>
                <c:pt idx="0">
                  <c:v>stock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4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Inventario!$H$16:$H$26</c:f>
              <c:numCache>
                <c:formatCode>General</c:formatCode>
                <c:ptCount val="11"/>
                <c:pt idx="0">
                  <c:v>150</c:v>
                </c:pt>
                <c:pt idx="1">
                  <c:v>650</c:v>
                </c:pt>
                <c:pt idx="2">
                  <c:v>950</c:v>
                </c:pt>
                <c:pt idx="3">
                  <c:v>450</c:v>
                </c:pt>
                <c:pt idx="4">
                  <c:v>350</c:v>
                </c:pt>
                <c:pt idx="5">
                  <c:v>100</c:v>
                </c:pt>
                <c:pt idx="6">
                  <c:v>1300</c:v>
                </c:pt>
                <c:pt idx="7">
                  <c:v>600</c:v>
                </c:pt>
                <c:pt idx="8">
                  <c:v>850</c:v>
                </c:pt>
                <c:pt idx="9">
                  <c:v>550</c:v>
                </c:pt>
                <c:pt idx="1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B8D-41A1-9258-E6EA65C3CBF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</xdr:row>
      <xdr:rowOff>9525</xdr:rowOff>
    </xdr:from>
    <xdr:to>
      <xdr:col>9</xdr:col>
      <xdr:colOff>371475</xdr:colOff>
      <xdr:row>8</xdr:row>
      <xdr:rowOff>142874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57400" y="200025"/>
          <a:ext cx="5172075" cy="14668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4000" baseline="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CHOCOLATE DEL</a:t>
          </a:r>
        </a:p>
        <a:p>
          <a:pPr algn="ctr"/>
          <a:r>
            <a:rPr lang="es-419" sz="4000" baseline="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NEGRITO</a:t>
          </a:r>
        </a:p>
      </xdr:txBody>
    </xdr:sp>
    <xdr:clientData/>
  </xdr:twoCellAnchor>
  <xdr:twoCellAnchor editAs="oneCell">
    <xdr:from>
      <xdr:col>2</xdr:col>
      <xdr:colOff>219075</xdr:colOff>
      <xdr:row>0</xdr:row>
      <xdr:rowOff>173994</xdr:rowOff>
    </xdr:from>
    <xdr:to>
      <xdr:col>4</xdr:col>
      <xdr:colOff>704850</xdr:colOff>
      <xdr:row>8</xdr:row>
      <xdr:rowOff>19050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200" b="90000" l="9809" r="89918">
                      <a14:foregroundMark x1="57221" y1="32400" x2="43869" y2="29200"/>
                      <a14:foregroundMark x1="50409" y1="30400" x2="50409" y2="30400"/>
                      <a14:foregroundMark x1="65395" y1="37600" x2="65395" y2="37600"/>
                      <a14:foregroundMark x1="64578" y1="41600" x2="65395" y2="43200"/>
                      <a14:foregroundMark x1="70300" y1="47200" x2="71117" y2="48000"/>
                      <a14:foregroundMark x1="72752" y1="45600" x2="72752" y2="45600"/>
                      <a14:backgroundMark x1="20436" y1="40000" x2="20436" y2="40000"/>
                      <a14:backgroundMark x1="22071" y1="20000" x2="22071" y2="20000"/>
                      <a14:backgroundMark x1="22071" y1="22800" x2="22071" y2="22800"/>
                      <a14:backgroundMark x1="22071" y1="22800" x2="22071" y2="22800"/>
                      <a14:backgroundMark x1="20436" y1="38400" x2="24523" y2="16400"/>
                      <a14:backgroundMark x1="24523" y1="16400" x2="34060" y2="10400"/>
                      <a14:backgroundMark x1="40599" y1="10000" x2="40599" y2="10000"/>
                      <a14:backgroundMark x1="43052" y1="8800" x2="43052" y2="8800"/>
                      <a14:backgroundMark x1="42234" y1="9600" x2="42234" y2="9600"/>
                      <a14:backgroundMark x1="20163" y1="55200" x2="20436" y2="77200"/>
                      <a14:backgroundMark x1="20436" y1="77200" x2="28610" y2="84400"/>
                      <a14:backgroundMark x1="39782" y1="89200" x2="39782" y2="89200"/>
                      <a14:backgroundMark x1="41144" y1="90000" x2="41144" y2="90000"/>
                      <a14:backgroundMark x1="41689" y1="90000" x2="41689" y2="90000"/>
                      <a14:backgroundMark x1="42507" y1="89600" x2="42507" y2="89600"/>
                      <a14:backgroundMark x1="40599" y1="89200" x2="40599" y2="89200"/>
                      <a14:backgroundMark x1="55041" y1="88800" x2="55041" y2="88800"/>
                      <a14:backgroundMark x1="53678" y1="89200" x2="53678" y2="89200"/>
                      <a14:backgroundMark x1="55041" y1="89200" x2="55041" y2="89200"/>
                      <a14:backgroundMark x1="54223" y1="89200" x2="55586" y2="89600"/>
                      <a14:backgroundMark x1="57221" y1="89600" x2="57221" y2="89600"/>
                      <a14:backgroundMark x1="57493" y1="89200" x2="57493" y2="89200"/>
                      <a14:backgroundMark x1="58583" y1="88800" x2="58583" y2="88800"/>
                      <a14:backgroundMark x1="59401" y1="88400" x2="59401" y2="88400"/>
                      <a14:backgroundMark x1="59401" y1="88400" x2="73025" y2="74000"/>
                      <a14:backgroundMark x1="73025" y1="74000" x2="74932" y2="62400"/>
                      <a14:backgroundMark x1="74659" y1="59600" x2="74659" y2="59600"/>
                      <a14:backgroundMark x1="74659" y1="58000" x2="74659" y2="58000"/>
                      <a14:backgroundMark x1="74659" y1="57600" x2="74659" y2="57600"/>
                      <a14:backgroundMark x1="53134" y1="10000" x2="53134" y2="10000"/>
                      <a14:backgroundMark x1="52044" y1="10000" x2="52044" y2="10000"/>
                      <a14:backgroundMark x1="51771" y1="9600" x2="51771" y2="9600"/>
                      <a14:backgroundMark x1="54496" y1="10800" x2="54496" y2="10800"/>
                      <a14:backgroundMark x1="55041" y1="9600" x2="55041" y2="9600"/>
                      <a14:backgroundMark x1="29973" y1="82800" x2="29973" y2="82800"/>
                      <a14:backgroundMark x1="30790" y1="85200" x2="30790" y2="85200"/>
                      <a14:backgroundMark x1="21253" y1="80800" x2="34332" y2="86800"/>
                      <a14:backgroundMark x1="34332" y1="86800" x2="34877" y2="86800"/>
                      <a14:backgroundMark x1="55313" y1="10000" x2="69755" y2="11200"/>
                      <a14:backgroundMark x1="69755" y1="11200" x2="73025" y2="31600"/>
                      <a14:backgroundMark x1="74659" y1="39600" x2="74659" y2="39600"/>
                      <a14:backgroundMark x1="74659" y1="38800" x2="74659" y2="38800"/>
                      <a14:backgroundMark x1="74659" y1="40800" x2="74659" y2="40800"/>
                      <a14:backgroundMark x1="74659" y1="42400" x2="74659" y2="42400"/>
                      <a14:backgroundMark x1="73025" y1="9600" x2="73025" y2="9600"/>
                      <a14:backgroundMark x1="72480" y1="10800" x2="72480" y2="10800"/>
                      <a14:backgroundMark x1="72480" y1="10400" x2="74387" y2="10400"/>
                      <a14:backgroundMark x1="72752" y1="9200" x2="72752" y2="92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5" y="173994"/>
          <a:ext cx="2009775" cy="1369056"/>
        </a:xfrm>
        <a:prstGeom prst="rect">
          <a:avLst/>
        </a:prstGeom>
      </xdr:spPr>
    </xdr:pic>
    <xdr:clientData/>
  </xdr:twoCellAnchor>
  <xdr:twoCellAnchor>
    <xdr:from>
      <xdr:col>2</xdr:col>
      <xdr:colOff>533400</xdr:colOff>
      <xdr:row>7</xdr:row>
      <xdr:rowOff>123825</xdr:rowOff>
    </xdr:from>
    <xdr:to>
      <xdr:col>9</xdr:col>
      <xdr:colOff>380999</xdr:colOff>
      <xdr:row>24</xdr:row>
      <xdr:rowOff>76200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57400" y="1457325"/>
          <a:ext cx="5181599" cy="319087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9</xdr:row>
          <xdr:rowOff>66675</xdr:rowOff>
        </xdr:from>
        <xdr:to>
          <xdr:col>5</xdr:col>
          <xdr:colOff>304800</xdr:colOff>
          <xdr:row>10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16</xdr:row>
          <xdr:rowOff>104775</xdr:rowOff>
        </xdr:from>
        <xdr:to>
          <xdr:col>8</xdr:col>
          <xdr:colOff>571500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16</xdr:row>
          <xdr:rowOff>104775</xdr:rowOff>
        </xdr:from>
        <xdr:to>
          <xdr:col>5</xdr:col>
          <xdr:colOff>333375</xdr:colOff>
          <xdr:row>17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Estados Financieros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12</xdr:row>
          <xdr:rowOff>161925</xdr:rowOff>
        </xdr:from>
        <xdr:to>
          <xdr:col>5</xdr:col>
          <xdr:colOff>295275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9</xdr:row>
          <xdr:rowOff>66675</xdr:rowOff>
        </xdr:from>
        <xdr:to>
          <xdr:col>8</xdr:col>
          <xdr:colOff>581025</xdr:colOff>
          <xdr:row>10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Gasto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12</xdr:row>
          <xdr:rowOff>152400</xdr:rowOff>
        </xdr:from>
        <xdr:to>
          <xdr:col>8</xdr:col>
          <xdr:colOff>581025</xdr:colOff>
          <xdr:row>14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Costeo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457200</xdr:colOff>
      <xdr:row>0</xdr:row>
      <xdr:rowOff>161925</xdr:rowOff>
    </xdr:from>
    <xdr:to>
      <xdr:col>18</xdr:col>
      <xdr:colOff>457200</xdr:colOff>
      <xdr:row>15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2</xdr:row>
      <xdr:rowOff>142875</xdr:rowOff>
    </xdr:from>
    <xdr:to>
      <xdr:col>5</xdr:col>
      <xdr:colOff>314325</xdr:colOff>
      <xdr:row>5</xdr:row>
      <xdr:rowOff>76200</xdr:rowOff>
    </xdr:to>
    <xdr:sp macro="[0]!GuardarInv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48225" y="542925"/>
          <a:ext cx="1114425" cy="53340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6</xdr:row>
      <xdr:rowOff>114300</xdr:rowOff>
    </xdr:from>
    <xdr:to>
      <xdr:col>5</xdr:col>
      <xdr:colOff>342900</xdr:colOff>
      <xdr:row>9</xdr:row>
      <xdr:rowOff>57150</xdr:rowOff>
    </xdr:to>
    <xdr:sp macro="[0]!BorrarInv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67275" y="1314450"/>
          <a:ext cx="1123950" cy="542925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 editAs="oneCell">
    <xdr:from>
      <xdr:col>0</xdr:col>
      <xdr:colOff>428626</xdr:colOff>
      <xdr:row>0</xdr:row>
      <xdr:rowOff>142280</xdr:rowOff>
    </xdr:from>
    <xdr:to>
      <xdr:col>1</xdr:col>
      <xdr:colOff>104775</xdr:colOff>
      <xdr:row>2</xdr:row>
      <xdr:rowOff>180379</xdr:rowOff>
    </xdr:to>
    <xdr:pic macro="[0]!IrInicio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6" y="142280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0</xdr:row>
      <xdr:rowOff>161925</xdr:rowOff>
    </xdr:from>
    <xdr:to>
      <xdr:col>9</xdr:col>
      <xdr:colOff>581025</xdr:colOff>
      <xdr:row>5</xdr:row>
      <xdr:rowOff>57150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2750" y="161925"/>
          <a:ext cx="3267075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INVENTARIO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85725</xdr:rowOff>
    </xdr:from>
    <xdr:to>
      <xdr:col>1</xdr:col>
      <xdr:colOff>171449</xdr:colOff>
      <xdr:row>3</xdr:row>
      <xdr:rowOff>123824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276225"/>
          <a:ext cx="438149" cy="438149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1</xdr:row>
      <xdr:rowOff>190500</xdr:rowOff>
    </xdr:from>
    <xdr:to>
      <xdr:col>6</xdr:col>
      <xdr:colOff>838200</xdr:colOff>
      <xdr:row>4</xdr:row>
      <xdr:rowOff>104775</xdr:rowOff>
    </xdr:to>
    <xdr:sp macro="[0]!GuardarTrab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81650" y="390525"/>
          <a:ext cx="1114425" cy="514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5</xdr:col>
      <xdr:colOff>581025</xdr:colOff>
      <xdr:row>5</xdr:row>
      <xdr:rowOff>171450</xdr:rowOff>
    </xdr:from>
    <xdr:to>
      <xdr:col>6</xdr:col>
      <xdr:colOff>857250</xdr:colOff>
      <xdr:row>8</xdr:row>
      <xdr:rowOff>85725</xdr:rowOff>
    </xdr:to>
    <xdr:sp macro="[0]!BorrarTrab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591175" y="1171575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47625</xdr:rowOff>
    </xdr:from>
    <xdr:to>
      <xdr:col>1</xdr:col>
      <xdr:colOff>6568</xdr:colOff>
      <xdr:row>3</xdr:row>
      <xdr:rowOff>85724</xdr:rowOff>
    </xdr:to>
    <xdr:pic macro="[0]!IrInicio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247650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0</xdr:row>
      <xdr:rowOff>9523</xdr:rowOff>
    </xdr:from>
    <xdr:to>
      <xdr:col>7</xdr:col>
      <xdr:colOff>781050</xdr:colOff>
      <xdr:row>4</xdr:row>
      <xdr:rowOff>180974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81625" y="9523"/>
          <a:ext cx="1495425" cy="971551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rgbClr val="FFFF00"/>
              </a:solidFill>
              <a:latin typeface="Freestyle Script" panose="030804020302050B0404" pitchFamily="66" charset="0"/>
            </a:rPr>
            <a:t>HOJA</a:t>
          </a:r>
          <a:r>
            <a:rPr lang="es-419" sz="2400" baseline="0">
              <a:solidFill>
                <a:srgbClr val="FFFF00"/>
              </a:solidFill>
              <a:latin typeface="Freestyle Script" panose="030804020302050B0404" pitchFamily="66" charset="0"/>
            </a:rPr>
            <a:t> DE COSTOS</a:t>
          </a:r>
          <a:endParaRPr lang="es-419" sz="24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8</xdr:row>
          <xdr:rowOff>104775</xdr:rowOff>
        </xdr:from>
        <xdr:to>
          <xdr:col>7</xdr:col>
          <xdr:colOff>161925</xdr:colOff>
          <xdr:row>10</xdr:row>
          <xdr:rowOff>171450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Completar Orden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8</xdr:row>
          <xdr:rowOff>85725</xdr:rowOff>
        </xdr:from>
        <xdr:to>
          <xdr:col>10</xdr:col>
          <xdr:colOff>228600</xdr:colOff>
          <xdr:row>10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2</xdr:row>
      <xdr:rowOff>152400</xdr:rowOff>
    </xdr:from>
    <xdr:to>
      <xdr:col>5</xdr:col>
      <xdr:colOff>66675</xdr:colOff>
      <xdr:row>5</xdr:row>
      <xdr:rowOff>66675</xdr:rowOff>
    </xdr:to>
    <xdr:sp macro="[0]!GuardarVent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609975" y="533400"/>
          <a:ext cx="1114425" cy="514350"/>
        </a:xfrm>
        <a:prstGeom prst="rect">
          <a:avLst/>
        </a:prstGeom>
        <a:solidFill>
          <a:schemeClr val="accent2"/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3</xdr:col>
      <xdr:colOff>466725</xdr:colOff>
      <xdr:row>6</xdr:row>
      <xdr:rowOff>171450</xdr:rowOff>
    </xdr:from>
    <xdr:to>
      <xdr:col>5</xdr:col>
      <xdr:colOff>66675</xdr:colOff>
      <xdr:row>9</xdr:row>
      <xdr:rowOff>104775</xdr:rowOff>
    </xdr:to>
    <xdr:sp macro="[0]!BorrarRegistr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295650" y="1352550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638174</xdr:colOff>
      <xdr:row>2</xdr:row>
      <xdr:rowOff>142874</xdr:rowOff>
    </xdr:to>
    <xdr:pic macro="[0]!IrInicio"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104775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</xdr:row>
      <xdr:rowOff>0</xdr:rowOff>
    </xdr:from>
    <xdr:to>
      <xdr:col>8</xdr:col>
      <xdr:colOff>1238250</xdr:colOff>
      <xdr:row>5</xdr:row>
      <xdr:rowOff>95250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838825" y="200025"/>
          <a:ext cx="2762250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VENTAS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0</xdr:row>
      <xdr:rowOff>161925</xdr:rowOff>
    </xdr:from>
    <xdr:to>
      <xdr:col>1</xdr:col>
      <xdr:colOff>28574</xdr:colOff>
      <xdr:row>2</xdr:row>
      <xdr:rowOff>200024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" y="161925"/>
          <a:ext cx="438149" cy="438149"/>
        </a:xfrm>
        <a:prstGeom prst="rect">
          <a:avLst/>
        </a:prstGeom>
      </xdr:spPr>
    </xdr:pic>
    <xdr:clientData/>
  </xdr:twoCellAnchor>
  <xdr:twoCellAnchor>
    <xdr:from>
      <xdr:col>4</xdr:col>
      <xdr:colOff>285750</xdr:colOff>
      <xdr:row>1</xdr:row>
      <xdr:rowOff>152400</xdr:rowOff>
    </xdr:from>
    <xdr:to>
      <xdr:col>5</xdr:col>
      <xdr:colOff>523875</xdr:colOff>
      <xdr:row>4</xdr:row>
      <xdr:rowOff>66675</xdr:rowOff>
    </xdr:to>
    <xdr:sp macro="[0]!GuardarGast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429125" y="352425"/>
          <a:ext cx="1114425" cy="514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5</xdr:row>
      <xdr:rowOff>76200</xdr:rowOff>
    </xdr:from>
    <xdr:to>
      <xdr:col>5</xdr:col>
      <xdr:colOff>552450</xdr:colOff>
      <xdr:row>7</xdr:row>
      <xdr:rowOff>190500</xdr:rowOff>
    </xdr:to>
    <xdr:sp macro="[0]!BorrarGast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448175" y="1076325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>
    <xdr:from>
      <xdr:col>6</xdr:col>
      <xdr:colOff>752474</xdr:colOff>
      <xdr:row>0</xdr:row>
      <xdr:rowOff>190500</xdr:rowOff>
    </xdr:from>
    <xdr:to>
      <xdr:col>10</xdr:col>
      <xdr:colOff>628649</xdr:colOff>
      <xdr:row>5</xdr:row>
      <xdr:rowOff>85725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534149" y="190500"/>
          <a:ext cx="2924175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GASTOS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1</xdr:row>
      <xdr:rowOff>76200</xdr:rowOff>
    </xdr:from>
    <xdr:to>
      <xdr:col>1</xdr:col>
      <xdr:colOff>219074</xdr:colOff>
      <xdr:row>3</xdr:row>
      <xdr:rowOff>114299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" y="266700"/>
          <a:ext cx="438149" cy="438149"/>
        </a:xfrm>
        <a:prstGeom prst="rect">
          <a:avLst/>
        </a:prstGeom>
      </xdr:spPr>
    </xdr:pic>
    <xdr:clientData/>
  </xdr:twoCellAnchor>
  <xdr:twoCellAnchor>
    <xdr:from>
      <xdr:col>5</xdr:col>
      <xdr:colOff>66675</xdr:colOff>
      <xdr:row>0</xdr:row>
      <xdr:rowOff>19050</xdr:rowOff>
    </xdr:from>
    <xdr:to>
      <xdr:col>7</xdr:col>
      <xdr:colOff>1257300</xdr:colOff>
      <xdr:row>3</xdr:row>
      <xdr:rowOff>47625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76775" y="19050"/>
          <a:ext cx="3267075" cy="6286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800">
              <a:solidFill>
                <a:srgbClr val="FFFF00"/>
              </a:solidFill>
              <a:latin typeface="Freestyle Script" panose="030804020302050B0404" pitchFamily="66" charset="0"/>
            </a:rPr>
            <a:t>IVA</a:t>
          </a:r>
          <a:r>
            <a:rPr lang="es-419" sz="2800" baseline="0">
              <a:solidFill>
                <a:srgbClr val="FFFF00"/>
              </a:solidFill>
              <a:latin typeface="Freestyle Script" panose="030804020302050B0404" pitchFamily="66" charset="0"/>
            </a:rPr>
            <a:t> REGISTRO</a:t>
          </a:r>
          <a:endParaRPr lang="es-419" sz="28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1</xdr:row>
      <xdr:rowOff>47625</xdr:rowOff>
    </xdr:from>
    <xdr:to>
      <xdr:col>1</xdr:col>
      <xdr:colOff>200024</xdr:colOff>
      <xdr:row>3</xdr:row>
      <xdr:rowOff>85724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875" y="247650"/>
          <a:ext cx="438149" cy="43814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Bonilla" refreshedDate="45807.658305555553" createdVersion="7" refreshedVersion="7" minRefreshableVersion="3" recordCount="2" xr:uid="{8B9CEFDB-7887-4708-A5B6-A3027720994E}">
  <cacheSource type="worksheet">
    <worksheetSource name="TablaTrab"/>
  </cacheSource>
  <cacheFields count="7">
    <cacheField name="Fecha" numFmtId="14">
      <sharedItems containsSemiMixedTypes="0" containsNonDate="0" containsDate="1" containsString="0" minDate="2025-05-28T00:00:00" maxDate="2025-05-29T00:00:00"/>
    </cacheField>
    <cacheField name="Producto" numFmtId="0">
      <sharedItems containsBlank="1" count="4">
        <s v="jalea de chocolate"/>
        <m u="1"/>
        <s v="tabletas de chocolate" u="1"/>
        <s v="chocolate en polvo (bolsa)" u="1"/>
      </sharedItems>
    </cacheField>
    <cacheField name="Lote N°" numFmtId="0">
      <sharedItems containsSemiMixedTypes="0" containsString="0" containsNumber="1" containsInteger="1" minValue="3" maxValue="5" count="3">
        <n v="5"/>
        <n v="3" u="1"/>
        <n v="4" u="1"/>
      </sharedItems>
    </cacheField>
    <cacheField name="Trabajador" numFmtId="0">
      <sharedItems/>
    </cacheField>
    <cacheField name="Horas trabajadas" numFmtId="0">
      <sharedItems containsSemiMixedTypes="0" containsString="0" containsNumber="1" minValue="6.5" maxValue="7"/>
    </cacheField>
    <cacheField name="Tarifa x Hora ($)" numFmtId="44">
      <sharedItems containsSemiMixedTypes="0" containsString="0" containsNumber="1" minValue="2.75" maxValue="5" count="6">
        <n v="3.5"/>
        <n v="2.75"/>
        <n v="4.5" u="1"/>
        <n v="4.75" u="1"/>
        <n v="5" u="1"/>
        <n v="3" u="1"/>
      </sharedItems>
    </cacheField>
    <cacheField name="Costo MOD" numFmtId="164">
      <sharedItems containsSemiMixedTypes="0" containsString="0" containsNumber="1" minValue="19.25" maxValue="22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5-05-28T00:00:00"/>
    <x v="0"/>
    <x v="0"/>
    <s v="Maria "/>
    <n v="6.5"/>
    <x v="0"/>
    <n v="22.75"/>
  </r>
  <r>
    <d v="2025-05-28T00:00:00"/>
    <x v="0"/>
    <x v="0"/>
    <s v="Jose"/>
    <n v="7"/>
    <x v="1"/>
    <n v="19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35373-0C69-473D-9E46-5531E24C60F7}" name="TablaMOD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Lote N">
  <location ref="J16:L18" firstHeaderRow="0" firstDataRow="1" firstDataCol="1" rowPageCount="2" colPageCount="1"/>
  <pivotFields count="7">
    <pivotField numFmtId="14" showAll="0"/>
    <pivotField axis="axisPage" showAll="0">
      <items count="5">
        <item sd="0" m="1" x="2"/>
        <item m="1" x="3"/>
        <item m="1" x="1"/>
        <item x="0"/>
        <item t="default"/>
      </items>
    </pivotField>
    <pivotField axis="axisRow" showAll="0">
      <items count="4">
        <item m="1" x="1"/>
        <item m="1" x="2"/>
        <item x="0"/>
        <item t="default"/>
      </items>
    </pivotField>
    <pivotField showAll="0"/>
    <pivotField dataField="1" showAll="0"/>
    <pivotField axis="axisPage" numFmtId="44" showAll="0">
      <items count="7">
        <item m="1" x="4"/>
        <item m="1" x="3"/>
        <item m="1" x="2"/>
        <item m="1" x="5"/>
        <item x="0"/>
        <item x="1"/>
        <item t="default"/>
      </items>
    </pivotField>
    <pivotField dataField="1" numFmtId="44" showAll="0"/>
  </pivotFields>
  <rowFields count="1">
    <field x="2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pageFields count="2">
    <pageField fld="5" hier="-1"/>
    <pageField fld="1" hier="-1"/>
  </pageFields>
  <dataFields count="2">
    <dataField name="Suma de Costo MOD" fld="6" baseField="0" baseItem="0"/>
    <dataField name="Suma de Horas trabajada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8FB768-9BD4-40DB-B872-D4EB95848AE8}" name="Tabla1" displayName="Tabla1" ref="B15:H26" totalsRowShown="0" headerRowDxfId="84" dataDxfId="82" headerRowBorderDxfId="83" tableBorderDxfId="81">
  <autoFilter ref="B15:H26" xr:uid="{6C8FB768-9BD4-40DB-B872-D4EB95848AE8}"/>
  <tableColumns count="7">
    <tableColumn id="1" xr3:uid="{2A731392-0918-43CA-9D25-775D4A012FEA}" name="Fecha de Compra" dataDxfId="80"/>
    <tableColumn id="2" xr3:uid="{E075656D-BA2A-4AE6-8282-68B7906A42A2}" name="Tipo/proceso" dataDxfId="79"/>
    <tableColumn id="3" xr3:uid="{D1E79330-44A5-459F-9ADC-EFCACB382456}" name="Material" dataDxfId="78"/>
    <tableColumn id="4" xr3:uid="{77FCA921-5804-4FAC-810E-043EBA40C978}" name="Cantidad" dataDxfId="77"/>
    <tableColumn id="5" xr3:uid="{76C3F356-9DD6-41F8-B828-2864ED7E853E}" name="Precio Unitario" dataDxfId="76"/>
    <tableColumn id="6" xr3:uid="{35F1A939-35EB-461A-81CC-8DE31F060D88}" name="total" dataDxfId="75" dataCellStyle="Moneda"/>
    <tableColumn id="7" xr3:uid="{B981D25A-0FC7-4676-A96D-82B685D15A9B}" name="stock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EA9E15-D14A-451B-AF56-B6713B530A61}" name="TablaTrab" displayName="TablaTrab" ref="B15:H17" totalsRowShown="0" headerRowDxfId="73" headerRowBorderDxfId="72" tableBorderDxfId="71">
  <autoFilter ref="B15:H17" xr:uid="{E3EA9E15-D14A-451B-AF56-B6713B530A61}"/>
  <tableColumns count="7">
    <tableColumn id="1" xr3:uid="{2C5A2767-F248-4A86-94A8-3C633D75A2B6}" name="Fecha" dataDxfId="70" dataCellStyle="Moneda"/>
    <tableColumn id="2" xr3:uid="{5A4BA138-8745-4DEF-B487-6B0469FD2748}" name="Producto" dataDxfId="69" dataCellStyle="Moneda"/>
    <tableColumn id="3" xr3:uid="{FCF9E40A-1BE8-4F13-86A4-F5F9FF82EF7E}" name="Lote N°" dataDxfId="68" dataCellStyle="Moneda"/>
    <tableColumn id="4" xr3:uid="{5664ECCC-9AAC-4AFB-BE1A-482405E94A59}" name="Trabajador" dataDxfId="67" dataCellStyle="Moneda"/>
    <tableColumn id="5" xr3:uid="{B2CCFFF5-747E-4966-BE87-9C5C2B4357DF}" name="Horas trabajadas" dataDxfId="66"/>
    <tableColumn id="6" xr3:uid="{14CA1CE0-75F9-46BA-90A7-963576F4EC55}" name="Tarifa x Hora ($)" dataDxfId="65" dataCellStyle="Moneda"/>
    <tableColumn id="7" xr3:uid="{18E63A7B-4D02-4164-A086-7BCBAD1B1476}" name="Costo MOD" dataDxfId="64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D755B6-FB25-4F7A-9546-E5AA813FEF52}" name="TablaCostos" displayName="TablaCostos" ref="C15:M16" totalsRowShown="0" headerRowDxfId="63" dataDxfId="61" headerRowBorderDxfId="62" tableBorderDxfId="60">
  <autoFilter ref="C15:M16" xr:uid="{A3D755B6-FB25-4F7A-9546-E5AA813FEF52}"/>
  <tableColumns count="11">
    <tableColumn id="1" xr3:uid="{868F03CD-DD31-46D2-884C-57F61983BBF2}" name="Fecha" dataDxfId="59"/>
    <tableColumn id="2" xr3:uid="{4DE50D12-BBBA-4A87-84D1-33B7B4CED4FB}" name="Material" dataDxfId="58"/>
    <tableColumn id="3" xr3:uid="{466B97BF-3350-44D1-973C-8DC30E997AA2}" name="Cantidad" dataDxfId="57"/>
    <tableColumn id="4" xr3:uid="{F8D3113E-23E8-4C63-AF44-121C28AD97C4}" name="Precio Unitario" dataDxfId="56" dataCellStyle="Moneda"/>
    <tableColumn id="5" xr3:uid="{02AD5108-4BAD-4A51-AB98-4C4CEF2C4D9A}" name="Total" dataDxfId="55" dataCellStyle="Moneda"/>
    <tableColumn id="6" xr3:uid="{CCFB91C4-66F4-4631-9F7D-900934B373F3}" name="Trabajador" dataDxfId="54"/>
    <tableColumn id="7" xr3:uid="{83B9089E-FC54-4495-B131-9D647601BCFD}" name="Horas trabajadas" dataDxfId="53"/>
    <tableColumn id="8" xr3:uid="{3653263A-DEDD-4796-BBF4-8C9D0DF0EE4F}" name="Tarifa x Hora ($)" dataDxfId="52" dataCellStyle="Moneda"/>
    <tableColumn id="9" xr3:uid="{D094BC70-AFF3-4D91-A3A1-F04509515792}" name="Costo MOD" dataDxfId="51"/>
    <tableColumn id="10" xr3:uid="{67B68F70-25F3-4B04-A882-03A09FAB408B}" name="Tasa x C.P" dataDxfId="50"/>
    <tableColumn id="11" xr3:uid="{627A4215-1394-4E6F-9F9D-8D7F528A3BDD}" name="Total CIF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03F2E14-C56A-4537-9C07-0F89F3D01F87}" name="TablaCostos2" displayName="TablaCostos2" ref="C20:L21" totalsRowShown="0" headerRowDxfId="48" dataDxfId="46" headerRowBorderDxfId="47" tableBorderDxfId="45">
  <autoFilter ref="C20:L21" xr:uid="{D03F2E14-C56A-4537-9C07-0F89F3D01F87}"/>
  <tableColumns count="10">
    <tableColumn id="1" xr3:uid="{967CAF9B-80DB-4F3E-B4A7-0C11B5FF43C3}" name="Fecha de expedicion" dataDxfId="44"/>
    <tableColumn id="2" xr3:uid="{04D5B156-303E-4AEB-AFE4-B38B45CF6625}" name="Fecha de entrega" dataDxfId="43"/>
    <tableColumn id="3" xr3:uid="{60B2C961-9D73-430D-A9AA-EB860989A4DC}" name="Lote N" dataDxfId="42"/>
    <tableColumn id="4" xr3:uid="{1B1A45AC-EDB9-4F0F-A6BF-D7A4AB60ACC2}" name="Producto" dataDxfId="41" dataCellStyle="Moneda"/>
    <tableColumn id="5" xr3:uid="{9BAD418B-DE68-4421-87B3-5F98712381C4}" name="Cantidad" dataDxfId="40" dataCellStyle="Moneda"/>
    <tableColumn id="6" xr3:uid="{2EACEAB3-17A0-4A71-AEB7-7B5E8D2EE325}" name=" Materiales Monto" dataDxfId="39"/>
    <tableColumn id="7" xr3:uid="{EFECD4B7-720E-453B-9D1E-E0526A75AFD6}" name="MOD Monto" dataDxfId="38"/>
    <tableColumn id="8" xr3:uid="{B996D666-119B-4F9E-A8BF-E5983FC944F9}" name="CIF Monto" dataDxfId="37" dataCellStyle="Moneda"/>
    <tableColumn id="9" xr3:uid="{14A93457-FFFA-4813-B555-5A89CDF5D2D5}" name="Costo de Produccion" dataDxfId="36"/>
    <tableColumn id="10" xr3:uid="{DFA39EED-9B19-4DAA-88B6-55CB5C6918F1}" name="Costo Unitario" dataDxfId="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CE5BF2-105A-4AC5-A450-D095709828BB}" name="Tabla5" displayName="Tabla5" ref="B14:F17" totalsRowShown="0" headerRowDxfId="34" headerRowBorderDxfId="33" tableBorderDxfId="32">
  <autoFilter ref="B14:F17" xr:uid="{40CE5BF2-105A-4AC5-A450-D095709828BB}"/>
  <tableColumns count="5">
    <tableColumn id="1" xr3:uid="{54F8B99E-DD2D-4326-98AF-52EC73A88D41}" name="Cliente" dataDxfId="31"/>
    <tableColumn id="2" xr3:uid="{A3B66BC2-9C37-4FB0-96E7-17DB030845B7}" name="Ingreso" dataDxfId="30" dataCellStyle="Moneda"/>
    <tableColumn id="3" xr3:uid="{81A470A3-32CE-4331-802C-4CD0A77BBB41}" name="Costo de _x000a_lo Vendido" dataDxfId="29" dataCellStyle="Moneda"/>
    <tableColumn id="4" xr3:uid="{CCC35DA3-905C-458A-8FAB-6E23FFA1A091}" name="Producto" dataDxfId="28" dataCellStyle="Moneda"/>
    <tableColumn id="5" xr3:uid="{B6A360EA-4613-4619-9E3E-97E673693185}" name="Fech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BCFFDC-C373-467B-875C-9523DD83811F}" name="Tabla2" displayName="Tabla2" ref="B14:E17" totalsRowShown="0" headerRowDxfId="27" dataDxfId="25" headerRowBorderDxfId="26" tableBorderDxfId="24">
  <autoFilter ref="B14:E17" xr:uid="{A2BCFFDC-C373-467B-875C-9523DD83811F}"/>
  <tableColumns count="4">
    <tableColumn id="1" xr3:uid="{6267179C-CE14-434C-AB92-CC4CA2B950C4}" name="Fecha" dataDxfId="23"/>
    <tableColumn id="2" xr3:uid="{FF3A4DD8-8E02-4C98-9DB9-C62784E03D24}" name="Tipo de gasto" dataDxfId="22"/>
    <tableColumn id="3" xr3:uid="{450FE206-06EA-460D-A3B4-DA48616E8C80}" name="Descripcion" dataDxfId="21"/>
    <tableColumn id="4" xr3:uid="{748EE333-7468-4E05-855B-63049E717174}" name="Monto" dataDxfId="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8C9AEC-137F-42E5-93E3-4268D455495E}" name="TablaIVA" displayName="TablaIVA" ref="C6:H12" totalsRowShown="0" headerRowDxfId="19" dataDxfId="17" headerRowBorderDxfId="18" tableBorderDxfId="16">
  <autoFilter ref="C6:H12" xr:uid="{758C9AEC-137F-42E5-93E3-4268D455495E}"/>
  <tableColumns count="6">
    <tableColumn id="1" xr3:uid="{D3F88670-79C4-48F8-8326-FC045A6760C0}" name="Fecha" dataDxfId="15"/>
    <tableColumn id="2" xr3:uid="{1CC420F1-DA9D-4BAD-8879-96B66E828154}" name="Descripcion" dataDxfId="14"/>
    <tableColumn id="3" xr3:uid="{C5C13A3B-ABA8-4022-B739-2E733E4D3447}" name="Tipo" dataDxfId="13"/>
    <tableColumn id="4" xr3:uid="{8A4B6305-8467-451C-BB0F-85C73447B8B5}" name="Monto base" dataDxfId="12" dataCellStyle="Moneda"/>
    <tableColumn id="5" xr3:uid="{09BD1189-0935-4B74-A36D-6EBBC9060DFB}" name="IVA(13%)" dataDxfId="11" dataCellStyle="Moneda"/>
    <tableColumn id="6" xr3:uid="{52343527-FD6B-476D-BF36-973563627814}" name="Total" dataDxfId="10" dataCellStyle="Mon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30BC6E-776D-4D05-916D-67F8A426AFBD}" name="TablaIVA2" displayName="TablaIVA2" ref="J6:O8" totalsRowShown="0" headerRowDxfId="9" dataDxfId="7" headerRowBorderDxfId="8" tableBorderDxfId="6">
  <autoFilter ref="J6:O8" xr:uid="{5A30BC6E-776D-4D05-916D-67F8A426AFBD}"/>
  <tableColumns count="6">
    <tableColumn id="1" xr3:uid="{AF6067EB-8039-4622-A416-667602C4C7F4}" name="Fecha" dataDxfId="5"/>
    <tableColumn id="2" xr3:uid="{E78D6C63-997C-47B3-90BC-7F14922F156B}" name="Cliente" dataDxfId="4"/>
    <tableColumn id="3" xr3:uid="{B04B288D-B611-4906-811C-FFDCEF4A349A}" name="Producto" dataDxfId="3"/>
    <tableColumn id="4" xr3:uid="{F46601F7-C61F-4EFA-A853-7D3947EE2375}" name="Monto base" dataDxfId="2" dataCellStyle="Moneda"/>
    <tableColumn id="5" xr3:uid="{E8FD0105-BB0A-4D06-B686-CEE9D146B0C6}" name="IVA(13%)" dataDxfId="1" dataCellStyle="Moneda"/>
    <tableColumn id="6" xr3:uid="{885C7449-86F7-41C8-81DF-F746C9685CA7}" name="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4C4A-F03E-4B33-A48D-BAF3CEA78C11}">
  <sheetPr codeName="Hoja1"/>
  <dimension ref="A1"/>
  <sheetViews>
    <sheetView showGridLines="0" showRowColHeaders="0" topLeftCell="C1" workbookViewId="0">
      <selection activeCell="K15" sqref="K15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IraVentas">
                <anchor moveWithCells="1" sizeWithCells="1">
                  <from>
                    <xdr:col>2</xdr:col>
                    <xdr:colOff>752475</xdr:colOff>
                    <xdr:row>9</xdr:row>
                    <xdr:rowOff>66675</xdr:rowOff>
                  </from>
                  <to>
                    <xdr:col>5</xdr:col>
                    <xdr:colOff>304800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gistroIVA">
                <anchor moveWithCells="1" sizeWithCells="1">
                  <from>
                    <xdr:col>6</xdr:col>
                    <xdr:colOff>257175</xdr:colOff>
                    <xdr:row>16</xdr:row>
                    <xdr:rowOff>104775</xdr:rowOff>
                  </from>
                  <to>
                    <xdr:col>8</xdr:col>
                    <xdr:colOff>571500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oja1.IrFinancieros">
                <anchor moveWithCells="1" sizeWithCells="1">
                  <from>
                    <xdr:col>3</xdr:col>
                    <xdr:colOff>19050</xdr:colOff>
                    <xdr:row>16</xdr:row>
                    <xdr:rowOff>104775</xdr:rowOff>
                  </from>
                  <to>
                    <xdr:col>5</xdr:col>
                    <xdr:colOff>333375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oja1.IrInventario">
                <anchor moveWithCells="1" sizeWithCells="1">
                  <from>
                    <xdr:col>2</xdr:col>
                    <xdr:colOff>742950</xdr:colOff>
                    <xdr:row>12</xdr:row>
                    <xdr:rowOff>161925</xdr:rowOff>
                  </from>
                  <to>
                    <xdr:col>5</xdr:col>
                    <xdr:colOff>295275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Hoja1.IrGastos">
                <anchor moveWithCells="1" sizeWithCells="1">
                  <from>
                    <xdr:col>6</xdr:col>
                    <xdr:colOff>266700</xdr:colOff>
                    <xdr:row>9</xdr:row>
                    <xdr:rowOff>66675</xdr:rowOff>
                  </from>
                  <to>
                    <xdr:col>8</xdr:col>
                    <xdr:colOff>581025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Hoja1.IrCosteo">
                <anchor moveWithCells="1" sizeWithCells="1">
                  <from>
                    <xdr:col>6</xdr:col>
                    <xdr:colOff>266700</xdr:colOff>
                    <xdr:row>12</xdr:row>
                    <xdr:rowOff>152400</xdr:rowOff>
                  </from>
                  <to>
                    <xdr:col>8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D7E49-1035-4947-A78D-84F06425AA7F}">
  <sheetPr codeName="Hoja5"/>
  <dimension ref="B1:K26"/>
  <sheetViews>
    <sheetView showGridLines="0" zoomScale="80" workbookViewId="0">
      <selection activeCell="D5" sqref="D5"/>
    </sheetView>
  </sheetViews>
  <sheetFormatPr baseColWidth="10" defaultRowHeight="15.75" x14ac:dyDescent="0.25"/>
  <cols>
    <col min="1" max="1" width="11.42578125" style="17"/>
    <col min="2" max="2" width="18.28515625" style="20" customWidth="1"/>
    <col min="3" max="3" width="16.28515625" style="20" bestFit="1" customWidth="1"/>
    <col min="4" max="4" width="22.42578125" style="20" customWidth="1"/>
    <col min="5" max="5" width="16.28515625" style="20" bestFit="1" customWidth="1"/>
    <col min="6" max="6" width="16.42578125" style="20" customWidth="1"/>
    <col min="7" max="7" width="16.7109375" style="27" customWidth="1"/>
    <col min="8" max="8" width="12.42578125" style="20" customWidth="1"/>
    <col min="9" max="9" width="11.42578125" style="17"/>
    <col min="10" max="10" width="18.28515625" style="17" customWidth="1"/>
    <col min="11" max="11" width="16.42578125" style="17" customWidth="1"/>
    <col min="12" max="12" width="16.28515625" style="17" bestFit="1" customWidth="1"/>
    <col min="13" max="16384" width="11.42578125" style="17"/>
  </cols>
  <sheetData>
    <row r="1" spans="2:11" x14ac:dyDescent="0.25">
      <c r="B1" s="17"/>
      <c r="C1" s="17"/>
      <c r="D1" s="17"/>
      <c r="E1" s="17"/>
      <c r="F1" s="17"/>
      <c r="G1" s="17"/>
      <c r="H1" s="17"/>
    </row>
    <row r="2" spans="2:11" x14ac:dyDescent="0.25">
      <c r="B2" s="17"/>
      <c r="C2" s="17"/>
      <c r="D2" s="17"/>
      <c r="E2" s="17"/>
      <c r="F2" s="17"/>
      <c r="G2" s="17"/>
      <c r="H2" s="17"/>
    </row>
    <row r="3" spans="2:11" x14ac:dyDescent="0.25">
      <c r="B3" s="17"/>
      <c r="C3" s="17"/>
      <c r="D3" s="17"/>
      <c r="E3" s="17"/>
      <c r="F3" s="17"/>
      <c r="G3" s="17"/>
      <c r="H3" s="17"/>
    </row>
    <row r="4" spans="2:11" x14ac:dyDescent="0.25">
      <c r="B4" s="17"/>
      <c r="C4" s="105" t="s">
        <v>40</v>
      </c>
      <c r="D4" s="106"/>
      <c r="E4" s="17"/>
      <c r="F4" s="17" t="s">
        <v>8</v>
      </c>
      <c r="G4" s="17"/>
      <c r="H4" s="17"/>
    </row>
    <row r="5" spans="2:11" x14ac:dyDescent="0.25">
      <c r="B5" s="17"/>
      <c r="C5" s="18" t="s">
        <v>3</v>
      </c>
      <c r="D5" s="7"/>
      <c r="E5" s="17"/>
      <c r="F5" s="17"/>
      <c r="G5" s="17"/>
      <c r="H5" s="17"/>
    </row>
    <row r="6" spans="2:11" x14ac:dyDescent="0.25">
      <c r="B6" s="17"/>
      <c r="C6" s="18" t="s">
        <v>16</v>
      </c>
      <c r="D6" s="4"/>
      <c r="E6" s="17"/>
      <c r="F6" s="17"/>
      <c r="G6" s="17"/>
      <c r="H6" s="17"/>
    </row>
    <row r="7" spans="2:11" x14ac:dyDescent="0.25">
      <c r="B7" s="17"/>
      <c r="C7" s="18" t="s">
        <v>79</v>
      </c>
      <c r="D7" s="4"/>
      <c r="E7" s="17"/>
      <c r="F7" s="17"/>
      <c r="G7" s="17"/>
      <c r="H7" s="17"/>
    </row>
    <row r="8" spans="2:11" x14ac:dyDescent="0.25">
      <c r="B8" s="17"/>
      <c r="C8" s="18" t="s">
        <v>14</v>
      </c>
      <c r="D8" s="19"/>
      <c r="E8" s="17"/>
      <c r="F8" s="17"/>
      <c r="G8" s="17"/>
      <c r="H8" s="17"/>
    </row>
    <row r="9" spans="2:11" x14ac:dyDescent="0.25">
      <c r="B9" s="17"/>
      <c r="C9" s="18" t="s">
        <v>15</v>
      </c>
      <c r="D9" s="8"/>
      <c r="E9" s="17"/>
      <c r="F9" s="17"/>
      <c r="G9" s="17"/>
      <c r="H9" s="17"/>
    </row>
    <row r="10" spans="2:11" x14ac:dyDescent="0.25">
      <c r="C10" s="21"/>
      <c r="D10" s="21"/>
      <c r="F10" s="22"/>
      <c r="G10" s="17"/>
      <c r="H10" s="17"/>
    </row>
    <row r="11" spans="2:11" x14ac:dyDescent="0.25">
      <c r="F11" s="17"/>
      <c r="G11" s="17"/>
      <c r="H11" s="17"/>
    </row>
    <row r="12" spans="2:11" x14ac:dyDescent="0.25">
      <c r="F12" s="17"/>
      <c r="G12" s="17"/>
      <c r="H12" s="17"/>
      <c r="K12" s="23"/>
    </row>
    <row r="13" spans="2:11" x14ac:dyDescent="0.25">
      <c r="F13" s="17"/>
      <c r="G13" s="17"/>
      <c r="H13" s="17"/>
      <c r="K13" s="24"/>
    </row>
    <row r="14" spans="2:11" x14ac:dyDescent="0.25">
      <c r="B14" s="102" t="s">
        <v>22</v>
      </c>
      <c r="C14" s="103"/>
      <c r="D14" s="103"/>
      <c r="E14" s="103"/>
      <c r="F14" s="103"/>
      <c r="G14" s="103"/>
      <c r="H14" s="104"/>
      <c r="K14" s="25"/>
    </row>
    <row r="15" spans="2:11" x14ac:dyDescent="0.25">
      <c r="B15" s="26" t="s">
        <v>6</v>
      </c>
      <c r="C15" s="26" t="s">
        <v>16</v>
      </c>
      <c r="D15" s="26" t="s">
        <v>79</v>
      </c>
      <c r="E15" s="26" t="s">
        <v>14</v>
      </c>
      <c r="F15" s="26" t="s">
        <v>15</v>
      </c>
      <c r="G15" s="26" t="s">
        <v>20</v>
      </c>
      <c r="H15" s="26" t="s">
        <v>19</v>
      </c>
      <c r="K15" s="23"/>
    </row>
    <row r="16" spans="2:11" x14ac:dyDescent="0.25">
      <c r="B16" s="7">
        <v>45805</v>
      </c>
      <c r="C16" s="4" t="s">
        <v>18</v>
      </c>
      <c r="D16" s="4" t="s">
        <v>44</v>
      </c>
      <c r="E16" s="19">
        <v>200</v>
      </c>
      <c r="F16" s="8">
        <v>2.5</v>
      </c>
      <c r="G16" s="27">
        <v>-500</v>
      </c>
      <c r="H16" s="20">
        <v>150</v>
      </c>
    </row>
    <row r="17" spans="2:8" x14ac:dyDescent="0.25">
      <c r="B17" s="7">
        <v>45805</v>
      </c>
      <c r="C17" s="4" t="s">
        <v>18</v>
      </c>
      <c r="D17" s="4" t="s">
        <v>46</v>
      </c>
      <c r="E17" s="19">
        <v>300</v>
      </c>
      <c r="F17" s="8">
        <v>1.5</v>
      </c>
      <c r="G17" s="27">
        <v>-450</v>
      </c>
      <c r="H17" s="20">
        <v>650</v>
      </c>
    </row>
    <row r="18" spans="2:8" x14ac:dyDescent="0.25">
      <c r="B18" s="7">
        <v>45805</v>
      </c>
      <c r="C18" s="4" t="s">
        <v>17</v>
      </c>
      <c r="D18" s="4" t="s">
        <v>46</v>
      </c>
      <c r="E18" s="19">
        <v>500</v>
      </c>
      <c r="F18" s="8">
        <v>1.5</v>
      </c>
      <c r="G18" s="27">
        <v>750</v>
      </c>
      <c r="H18" s="20">
        <v>950</v>
      </c>
    </row>
    <row r="19" spans="2:8" x14ac:dyDescent="0.25">
      <c r="B19" s="7">
        <v>45804</v>
      </c>
      <c r="C19" s="4" t="s">
        <v>17</v>
      </c>
      <c r="D19" s="4" t="s">
        <v>46</v>
      </c>
      <c r="E19" s="19">
        <v>450</v>
      </c>
      <c r="F19" s="8">
        <v>1.25</v>
      </c>
      <c r="G19" s="27">
        <v>562.5</v>
      </c>
      <c r="H19" s="20">
        <v>450</v>
      </c>
    </row>
    <row r="20" spans="2:8" x14ac:dyDescent="0.25">
      <c r="B20" s="7">
        <v>45804</v>
      </c>
      <c r="C20" s="4" t="s">
        <v>17</v>
      </c>
      <c r="D20" s="4" t="s">
        <v>44</v>
      </c>
      <c r="E20" s="19">
        <v>250</v>
      </c>
      <c r="F20" s="8">
        <v>2.5</v>
      </c>
      <c r="G20" s="27">
        <v>625</v>
      </c>
      <c r="H20" s="20">
        <v>350</v>
      </c>
    </row>
    <row r="21" spans="2:8" ht="18.75" customHeight="1" x14ac:dyDescent="0.25">
      <c r="B21" s="7">
        <v>45804</v>
      </c>
      <c r="C21" s="4" t="s">
        <v>17</v>
      </c>
      <c r="D21" s="4" t="s">
        <v>44</v>
      </c>
      <c r="E21" s="19">
        <v>100</v>
      </c>
      <c r="F21" s="8">
        <v>4.5</v>
      </c>
      <c r="G21" s="27">
        <v>450</v>
      </c>
      <c r="H21" s="20">
        <v>100</v>
      </c>
    </row>
    <row r="22" spans="2:8" x14ac:dyDescent="0.25">
      <c r="B22" s="7">
        <v>45804</v>
      </c>
      <c r="C22" s="4" t="s">
        <v>17</v>
      </c>
      <c r="D22" s="4" t="s">
        <v>35</v>
      </c>
      <c r="E22" s="19">
        <v>700</v>
      </c>
      <c r="F22" s="8">
        <v>1.5</v>
      </c>
      <c r="G22" s="27">
        <v>1050</v>
      </c>
      <c r="H22" s="20">
        <v>1300</v>
      </c>
    </row>
    <row r="23" spans="2:8" ht="18.75" customHeight="1" x14ac:dyDescent="0.25">
      <c r="B23" s="7">
        <v>45798</v>
      </c>
      <c r="C23" s="4" t="s">
        <v>18</v>
      </c>
      <c r="D23" s="4" t="s">
        <v>35</v>
      </c>
      <c r="E23" s="19">
        <v>250</v>
      </c>
      <c r="F23" s="8"/>
      <c r="H23" s="20">
        <v>600</v>
      </c>
    </row>
    <row r="24" spans="2:8" x14ac:dyDescent="0.25">
      <c r="B24" s="7">
        <v>45798</v>
      </c>
      <c r="C24" s="4" t="s">
        <v>17</v>
      </c>
      <c r="D24" s="4" t="s">
        <v>35</v>
      </c>
      <c r="E24" s="19">
        <v>300</v>
      </c>
      <c r="F24" s="8">
        <v>7.5</v>
      </c>
      <c r="G24" s="27">
        <v>2250</v>
      </c>
      <c r="H24" s="20">
        <v>850</v>
      </c>
    </row>
    <row r="25" spans="2:8" x14ac:dyDescent="0.25">
      <c r="B25" s="7">
        <v>45797</v>
      </c>
      <c r="C25" s="4" t="s">
        <v>17</v>
      </c>
      <c r="D25" s="4" t="s">
        <v>35</v>
      </c>
      <c r="E25" s="19">
        <v>250</v>
      </c>
      <c r="F25" s="8">
        <v>3.75</v>
      </c>
      <c r="G25" s="27">
        <v>937.5</v>
      </c>
      <c r="H25" s="20">
        <v>550</v>
      </c>
    </row>
    <row r="26" spans="2:8" x14ac:dyDescent="0.25">
      <c r="B26" s="7">
        <v>45797</v>
      </c>
      <c r="C26" s="4" t="s">
        <v>17</v>
      </c>
      <c r="D26" s="4" t="s">
        <v>35</v>
      </c>
      <c r="E26" s="19">
        <v>300</v>
      </c>
      <c r="F26" s="8">
        <v>3.5</v>
      </c>
      <c r="G26" s="27">
        <v>1050</v>
      </c>
      <c r="H26" s="20">
        <v>300</v>
      </c>
    </row>
  </sheetData>
  <mergeCells count="2">
    <mergeCell ref="B14:H14"/>
    <mergeCell ref="C4:D4"/>
  </mergeCells>
  <dataValidations count="2">
    <dataValidation type="whole" allowBlank="1" showInputMessage="1" showErrorMessage="1" sqref="D8 E15:E26" xr:uid="{DD6A0B18-79B6-4D9F-BD57-A67BF26641B6}">
      <formula1>1</formula1>
      <formula2>1000000</formula2>
    </dataValidation>
    <dataValidation type="decimal" allowBlank="1" showInputMessage="1" showErrorMessage="1" sqref="D9 F15:F26" xr:uid="{2694D808-1177-40CD-9744-1917C139CDFB}">
      <formula1>0.000000001</formula1>
      <formula2>1000000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67910B-D183-4C9E-9E49-C14EF8F063C4}">
          <x14:formula1>
            <xm:f>Configuracion!$D$2:$D$33</xm:f>
          </x14:formula1>
          <xm:sqref>D5 B15:B26</xm:sqref>
        </x14:dataValidation>
        <x14:dataValidation type="list" allowBlank="1" showInputMessage="1" showErrorMessage="1" xr:uid="{2E187290-F2C6-49DB-806C-DBFC1CD12BDE}">
          <x14:formula1>
            <xm:f>Configuracion!$F$2:$F$3</xm:f>
          </x14:formula1>
          <xm:sqref>D6 C15:C26</xm:sqref>
        </x14:dataValidation>
        <x14:dataValidation type="list" allowBlank="1" showInputMessage="1" showErrorMessage="1" xr:uid="{5AD1CF9D-BC17-47B8-B1EA-58DA148B8761}">
          <x14:formula1>
            <xm:f>Configuracion!$F$8:$F$13</xm:f>
          </x14:formula1>
          <xm:sqref>D7 D16:D21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800BD-6427-4BD1-89DB-7FB8A495A48F}">
  <sheetPr codeName="Hoja9"/>
  <dimension ref="B2:R33"/>
  <sheetViews>
    <sheetView showGridLines="0" workbookViewId="0">
      <selection activeCell="E11" sqref="E11"/>
    </sheetView>
  </sheetViews>
  <sheetFormatPr baseColWidth="10" defaultRowHeight="15.75" x14ac:dyDescent="0.25"/>
  <cols>
    <col min="1" max="3" width="11.42578125" style="28"/>
    <col min="4" max="4" width="19" style="28" bestFit="1" customWidth="1"/>
    <col min="5" max="5" width="21.85546875" style="28" customWidth="1"/>
    <col min="6" max="6" width="12.7109375" style="28" customWidth="1"/>
    <col min="7" max="7" width="18" style="28" customWidth="1"/>
    <col min="8" max="8" width="17" style="28" customWidth="1"/>
    <col min="9" max="9" width="16.5703125" style="28" customWidth="1"/>
    <col min="10" max="10" width="14.85546875" style="28" bestFit="1" customWidth="1"/>
    <col min="11" max="11" width="19.140625" style="28" bestFit="1" customWidth="1"/>
    <col min="12" max="12" width="23.85546875" style="28" bestFit="1" customWidth="1"/>
    <col min="13" max="13" width="24.140625" style="28" bestFit="1" customWidth="1"/>
    <col min="14" max="16" width="28.85546875" style="28" bestFit="1" customWidth="1"/>
    <col min="17" max="17" width="24.140625" style="28" bestFit="1" customWidth="1"/>
    <col min="18" max="18" width="28.85546875" style="28" bestFit="1" customWidth="1"/>
    <col min="19" max="16384" width="11.42578125" style="28"/>
  </cols>
  <sheetData>
    <row r="2" spans="2:18" x14ac:dyDescent="0.25">
      <c r="I2" s="110" t="s">
        <v>67</v>
      </c>
      <c r="J2" s="110"/>
      <c r="K2" s="110"/>
    </row>
    <row r="3" spans="2:18" x14ac:dyDescent="0.25">
      <c r="D3" s="107" t="s">
        <v>9</v>
      </c>
      <c r="E3" s="108"/>
      <c r="I3" s="72" t="s">
        <v>68</v>
      </c>
      <c r="J3" s="73" t="s">
        <v>74</v>
      </c>
      <c r="K3" s="72" t="s">
        <v>69</v>
      </c>
    </row>
    <row r="4" spans="2:18" x14ac:dyDescent="0.25">
      <c r="D4" s="18" t="s">
        <v>3</v>
      </c>
      <c r="E4" s="64"/>
      <c r="I4" s="29" t="s">
        <v>70</v>
      </c>
      <c r="J4" s="29" t="s">
        <v>75</v>
      </c>
      <c r="K4" s="30">
        <v>3</v>
      </c>
    </row>
    <row r="5" spans="2:18" x14ac:dyDescent="0.25">
      <c r="D5" s="18" t="s">
        <v>10</v>
      </c>
      <c r="E5" s="63"/>
      <c r="I5" s="29" t="s">
        <v>71</v>
      </c>
      <c r="J5" s="29" t="s">
        <v>75</v>
      </c>
      <c r="K5" s="30">
        <v>3.5</v>
      </c>
    </row>
    <row r="6" spans="2:18" x14ac:dyDescent="0.25">
      <c r="D6" s="62" t="s">
        <v>56</v>
      </c>
      <c r="E6" s="65"/>
      <c r="I6" s="29" t="s">
        <v>72</v>
      </c>
      <c r="J6" s="29" t="s">
        <v>75</v>
      </c>
      <c r="K6" s="30">
        <v>2.75</v>
      </c>
    </row>
    <row r="7" spans="2:18" x14ac:dyDescent="0.25">
      <c r="D7" s="18" t="s">
        <v>57</v>
      </c>
      <c r="E7" s="65"/>
      <c r="I7" s="29" t="s">
        <v>73</v>
      </c>
      <c r="J7" s="29" t="s">
        <v>75</v>
      </c>
      <c r="K7" s="30">
        <v>4</v>
      </c>
    </row>
    <row r="8" spans="2:18" x14ac:dyDescent="0.25">
      <c r="D8" s="18" t="s">
        <v>58</v>
      </c>
      <c r="E8" s="66"/>
    </row>
    <row r="9" spans="2:18" x14ac:dyDescent="0.25">
      <c r="D9" s="62" t="s">
        <v>59</v>
      </c>
      <c r="E9" s="67"/>
    </row>
    <row r="13" spans="2:18" x14ac:dyDescent="0.25">
      <c r="J13" s="70" t="s">
        <v>59</v>
      </c>
      <c r="K13" t="s">
        <v>65</v>
      </c>
    </row>
    <row r="14" spans="2:18" x14ac:dyDescent="0.25">
      <c r="B14" s="109" t="s">
        <v>61</v>
      </c>
      <c r="C14" s="109"/>
      <c r="D14" s="109"/>
      <c r="E14" s="109"/>
      <c r="F14" s="109"/>
      <c r="G14" s="109"/>
      <c r="H14" s="109"/>
      <c r="J14" s="70" t="s">
        <v>10</v>
      </c>
      <c r="K14" t="s">
        <v>65</v>
      </c>
    </row>
    <row r="15" spans="2:18" ht="31.5" x14ac:dyDescent="0.25">
      <c r="B15" s="61" t="s">
        <v>3</v>
      </c>
      <c r="C15" s="61" t="s">
        <v>10</v>
      </c>
      <c r="D15" s="61" t="s">
        <v>56</v>
      </c>
      <c r="E15" s="61" t="s">
        <v>57</v>
      </c>
      <c r="F15" s="61" t="s">
        <v>58</v>
      </c>
      <c r="G15" s="61" t="s">
        <v>59</v>
      </c>
      <c r="H15" s="61" t="s">
        <v>60</v>
      </c>
    </row>
    <row r="16" spans="2:18" ht="31.5" x14ac:dyDescent="0.25">
      <c r="B16" s="64">
        <v>45805</v>
      </c>
      <c r="C16" s="63" t="s">
        <v>13</v>
      </c>
      <c r="D16" s="65">
        <v>5</v>
      </c>
      <c r="E16" s="65" t="s">
        <v>71</v>
      </c>
      <c r="F16" s="66">
        <v>6.5</v>
      </c>
      <c r="G16" s="67">
        <v>3.5</v>
      </c>
      <c r="H16" s="68">
        <v>22.75</v>
      </c>
      <c r="J16" s="70" t="s">
        <v>66</v>
      </c>
      <c r="K16" t="s">
        <v>62</v>
      </c>
      <c r="L16" t="s">
        <v>64</v>
      </c>
      <c r="M16"/>
      <c r="N16"/>
      <c r="O16"/>
      <c r="P16"/>
      <c r="Q16"/>
      <c r="R16"/>
    </row>
    <row r="17" spans="2:18" ht="31.5" x14ac:dyDescent="0.25">
      <c r="B17" s="64">
        <v>45805</v>
      </c>
      <c r="C17" s="63" t="s">
        <v>13</v>
      </c>
      <c r="D17" s="65">
        <v>5</v>
      </c>
      <c r="E17" s="65" t="s">
        <v>72</v>
      </c>
      <c r="F17" s="66">
        <v>7</v>
      </c>
      <c r="G17" s="67">
        <v>2.75</v>
      </c>
      <c r="H17" s="68">
        <v>19.25</v>
      </c>
      <c r="J17" s="71">
        <v>5</v>
      </c>
      <c r="K17" s="69">
        <v>42</v>
      </c>
      <c r="L17" s="69">
        <v>13.5</v>
      </c>
      <c r="M17"/>
      <c r="N17"/>
      <c r="O17"/>
      <c r="P17"/>
      <c r="Q17"/>
      <c r="R17"/>
    </row>
    <row r="18" spans="2:18" x14ac:dyDescent="0.25">
      <c r="B18"/>
      <c r="C18"/>
      <c r="D18"/>
      <c r="E18"/>
      <c r="F18"/>
      <c r="G18"/>
      <c r="H18"/>
      <c r="I18" s="60"/>
      <c r="J18" s="71" t="s">
        <v>63</v>
      </c>
      <c r="K18" s="69">
        <v>42</v>
      </c>
      <c r="L18" s="69">
        <v>13.5</v>
      </c>
      <c r="M18"/>
      <c r="N18"/>
      <c r="O18"/>
      <c r="P18"/>
      <c r="Q18"/>
      <c r="R18"/>
    </row>
    <row r="19" spans="2:18" x14ac:dyDescent="0.25">
      <c r="B19"/>
      <c r="C19"/>
      <c r="D19"/>
      <c r="E19"/>
      <c r="F19"/>
      <c r="G19"/>
      <c r="H19"/>
      <c r="I19" s="60"/>
      <c r="J19"/>
      <c r="K19"/>
      <c r="L19"/>
      <c r="M19"/>
      <c r="N19"/>
      <c r="O19"/>
      <c r="P19"/>
      <c r="Q19"/>
      <c r="R19"/>
    </row>
    <row r="20" spans="2:18" x14ac:dyDescent="0.25">
      <c r="B20"/>
      <c r="C20"/>
      <c r="D20"/>
      <c r="E20"/>
      <c r="F20"/>
      <c r="G20"/>
      <c r="H20"/>
      <c r="I20" s="60"/>
      <c r="J20"/>
      <c r="K20"/>
      <c r="L20"/>
      <c r="M20"/>
      <c r="N20"/>
      <c r="O20"/>
      <c r="P20"/>
      <c r="Q20"/>
      <c r="R20"/>
    </row>
    <row r="21" spans="2:18" x14ac:dyDescent="0.25">
      <c r="B21"/>
      <c r="C21"/>
      <c r="D21"/>
      <c r="E21"/>
      <c r="F21"/>
      <c r="G21"/>
      <c r="H21"/>
      <c r="J21"/>
      <c r="K21"/>
      <c r="L21"/>
      <c r="M21"/>
      <c r="N21"/>
      <c r="O21"/>
      <c r="P21"/>
      <c r="Q21"/>
      <c r="R21"/>
    </row>
    <row r="22" spans="2:18" x14ac:dyDescent="0.25">
      <c r="B22" s="60"/>
      <c r="C22" s="60"/>
      <c r="D22" s="60"/>
      <c r="E22" s="60"/>
      <c r="F22" s="60"/>
      <c r="G22" s="60"/>
      <c r="H22" s="60"/>
      <c r="J22"/>
      <c r="K22"/>
      <c r="L22"/>
      <c r="M22"/>
      <c r="N22"/>
      <c r="O22"/>
      <c r="P22"/>
      <c r="Q22"/>
      <c r="R22"/>
    </row>
    <row r="23" spans="2:18" x14ac:dyDescent="0.25">
      <c r="C23" s="60"/>
      <c r="D23" s="60"/>
      <c r="E23" s="60"/>
      <c r="F23" s="60"/>
      <c r="G23" s="60"/>
      <c r="H23" s="60"/>
      <c r="J23"/>
      <c r="K23"/>
      <c r="L23"/>
    </row>
    <row r="24" spans="2:18" x14ac:dyDescent="0.25">
      <c r="C24" s="60"/>
      <c r="D24" s="60"/>
      <c r="E24" s="60"/>
      <c r="F24" s="60"/>
      <c r="G24" s="60"/>
      <c r="H24" s="60"/>
      <c r="J24"/>
      <c r="K24"/>
      <c r="L24"/>
    </row>
    <row r="25" spans="2:18" x14ac:dyDescent="0.25">
      <c r="C25" s="60"/>
      <c r="D25" s="60"/>
      <c r="E25" s="60"/>
      <c r="F25" s="60"/>
      <c r="G25" s="60"/>
      <c r="H25" s="60"/>
      <c r="J25"/>
      <c r="K25"/>
      <c r="L25"/>
    </row>
    <row r="26" spans="2:18" x14ac:dyDescent="0.25">
      <c r="J26"/>
      <c r="K26"/>
      <c r="L26"/>
    </row>
    <row r="27" spans="2:18" x14ac:dyDescent="0.25">
      <c r="J27"/>
      <c r="K27"/>
      <c r="L27"/>
    </row>
    <row r="28" spans="2:18" x14ac:dyDescent="0.25">
      <c r="J28"/>
      <c r="K28"/>
      <c r="L28"/>
    </row>
    <row r="29" spans="2:18" x14ac:dyDescent="0.25">
      <c r="J29"/>
      <c r="K29"/>
      <c r="L29"/>
    </row>
    <row r="30" spans="2:18" x14ac:dyDescent="0.25">
      <c r="J30"/>
      <c r="K30"/>
      <c r="L30"/>
    </row>
    <row r="31" spans="2:18" x14ac:dyDescent="0.25">
      <c r="J31"/>
      <c r="K31"/>
      <c r="L31"/>
    </row>
    <row r="32" spans="2:18" x14ac:dyDescent="0.25">
      <c r="J32"/>
      <c r="K32"/>
      <c r="L32"/>
    </row>
    <row r="33" spans="10:12" x14ac:dyDescent="0.25">
      <c r="J33"/>
      <c r="K33"/>
      <c r="L33"/>
    </row>
  </sheetData>
  <mergeCells count="3">
    <mergeCell ref="D3:E3"/>
    <mergeCell ref="B14:H14"/>
    <mergeCell ref="I2:K2"/>
  </mergeCells>
  <dataValidations count="1">
    <dataValidation type="list" allowBlank="1" showInputMessage="1" showErrorMessage="1" sqref="E7 E15:E17" xr:uid="{39A3F165-633C-40A8-90E8-208460F02DA2}">
      <formula1>$I$4:$I$7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E91AE6-E4B3-4777-BA8C-E94D126FCED6}">
          <x14:formula1>
            <xm:f>Configuracion!$D$2:$D$32</xm:f>
          </x14:formula1>
          <xm:sqref>E4 B15:B17</xm:sqref>
        </x14:dataValidation>
        <x14:dataValidation type="list" allowBlank="1" showInputMessage="1" showErrorMessage="1" xr:uid="{8A9E4DE1-92CD-46D5-B23E-2B726C2CEEC6}">
          <x14:formula1>
            <xm:f>Configuracion!$B$2:$B$4</xm:f>
          </x14:formula1>
          <xm:sqref>E5 C15:C17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E97B-3E91-4E9E-A43A-89CE5165BE9B}">
  <sheetPr codeName="Hoja3"/>
  <dimension ref="C1:M21"/>
  <sheetViews>
    <sheetView showGridLines="0" tabSelected="1" topLeftCell="A3" zoomScale="78" zoomScaleNormal="100" workbookViewId="0">
      <selection activeCell="C23" sqref="C23"/>
    </sheetView>
  </sheetViews>
  <sheetFormatPr baseColWidth="10" defaultRowHeight="15.75" x14ac:dyDescent="0.25"/>
  <cols>
    <col min="1" max="2" width="11.42578125" style="28"/>
    <col min="3" max="3" width="20.5703125" style="28" customWidth="1"/>
    <col min="4" max="4" width="25.42578125" style="28" customWidth="1"/>
    <col min="5" max="5" width="24.140625" style="28" bestFit="1" customWidth="1"/>
    <col min="6" max="6" width="16.42578125" style="78" customWidth="1"/>
    <col min="7" max="7" width="18.28515625" style="78" customWidth="1"/>
    <col min="8" max="8" width="19.28515625" style="28" customWidth="1"/>
    <col min="9" max="9" width="18" style="28" customWidth="1"/>
    <col min="10" max="10" width="17" style="78" customWidth="1"/>
    <col min="11" max="11" width="22.28515625" style="28" customWidth="1"/>
    <col min="12" max="12" width="23" style="28" customWidth="1"/>
    <col min="13" max="13" width="19.5703125" style="28" customWidth="1"/>
    <col min="14" max="16384" width="11.42578125" style="28"/>
  </cols>
  <sheetData>
    <row r="1" spans="3:13" x14ac:dyDescent="0.25">
      <c r="F1" s="28"/>
      <c r="G1" s="28"/>
      <c r="J1" s="28"/>
    </row>
    <row r="2" spans="3:13" x14ac:dyDescent="0.25">
      <c r="F2" s="28"/>
      <c r="G2" s="28"/>
      <c r="J2" s="28"/>
    </row>
    <row r="3" spans="3:13" x14ac:dyDescent="0.25">
      <c r="F3" s="28"/>
      <c r="G3" s="28"/>
      <c r="J3" s="28"/>
    </row>
    <row r="4" spans="3:13" x14ac:dyDescent="0.25">
      <c r="F4" s="28"/>
      <c r="G4" s="28"/>
      <c r="J4" s="28"/>
    </row>
    <row r="5" spans="3:13" x14ac:dyDescent="0.25">
      <c r="D5" s="90" t="s">
        <v>88</v>
      </c>
      <c r="E5" s="91"/>
      <c r="F5" s="28"/>
      <c r="G5" s="28"/>
      <c r="J5" s="28"/>
      <c r="L5" s="88" t="s">
        <v>86</v>
      </c>
      <c r="M5" s="89"/>
    </row>
    <row r="6" spans="3:13" x14ac:dyDescent="0.25">
      <c r="D6" s="92"/>
      <c r="E6" s="93"/>
      <c r="F6" s="28"/>
      <c r="G6" s="28"/>
      <c r="J6" s="28"/>
      <c r="L6" s="92"/>
      <c r="M6" s="94"/>
    </row>
    <row r="7" spans="3:13" x14ac:dyDescent="0.25">
      <c r="D7" s="95" t="s">
        <v>89</v>
      </c>
      <c r="E7" s="96"/>
      <c r="F7" s="28"/>
      <c r="G7" s="28"/>
      <c r="J7" s="28"/>
      <c r="L7" s="92"/>
      <c r="M7" s="94"/>
    </row>
    <row r="8" spans="3:13" x14ac:dyDescent="0.25">
      <c r="F8" s="28"/>
      <c r="G8" s="28"/>
      <c r="J8" s="28"/>
    </row>
    <row r="9" spans="3:13" x14ac:dyDescent="0.25">
      <c r="D9" s="82" t="s">
        <v>83</v>
      </c>
      <c r="E9" s="83"/>
      <c r="F9" s="28"/>
      <c r="G9" s="28"/>
      <c r="J9" s="28"/>
      <c r="L9" s="86" t="s">
        <v>84</v>
      </c>
      <c r="M9" s="98"/>
    </row>
    <row r="10" spans="3:13" x14ac:dyDescent="0.25">
      <c r="F10" s="28"/>
      <c r="G10" s="28"/>
      <c r="J10" s="28"/>
    </row>
    <row r="11" spans="3:13" x14ac:dyDescent="0.25">
      <c r="D11" s="84" t="s">
        <v>87</v>
      </c>
      <c r="E11" s="85"/>
      <c r="F11" s="28"/>
      <c r="G11" s="28"/>
      <c r="J11" s="28"/>
      <c r="L11" s="87" t="s">
        <v>85</v>
      </c>
      <c r="M11" s="97"/>
    </row>
    <row r="12" spans="3:13" x14ac:dyDescent="0.25">
      <c r="F12" s="28"/>
      <c r="G12" s="28"/>
      <c r="J12" s="28"/>
    </row>
    <row r="13" spans="3:13" x14ac:dyDescent="0.25">
      <c r="F13" s="28"/>
      <c r="G13" s="28"/>
      <c r="J13" s="28"/>
    </row>
    <row r="14" spans="3:13" x14ac:dyDescent="0.25">
      <c r="D14" s="111" t="s">
        <v>76</v>
      </c>
      <c r="E14" s="111"/>
      <c r="F14" s="111"/>
      <c r="G14" s="111"/>
      <c r="H14" s="111" t="s">
        <v>77</v>
      </c>
      <c r="I14" s="111"/>
      <c r="J14" s="111"/>
      <c r="K14" s="111"/>
      <c r="L14" s="111" t="s">
        <v>78</v>
      </c>
      <c r="M14" s="111"/>
    </row>
    <row r="15" spans="3:13" ht="31.5" x14ac:dyDescent="0.25">
      <c r="C15" s="74" t="s">
        <v>3</v>
      </c>
      <c r="D15" s="75" t="s">
        <v>79</v>
      </c>
      <c r="E15" s="75" t="s">
        <v>14</v>
      </c>
      <c r="F15" s="76" t="s">
        <v>15</v>
      </c>
      <c r="G15" s="76" t="s">
        <v>30</v>
      </c>
      <c r="H15" s="61" t="s">
        <v>57</v>
      </c>
      <c r="I15" s="61" t="s">
        <v>58</v>
      </c>
      <c r="J15" s="61" t="s">
        <v>59</v>
      </c>
      <c r="K15" s="61" t="s">
        <v>60</v>
      </c>
      <c r="L15" s="75" t="s">
        <v>80</v>
      </c>
      <c r="M15" s="75" t="s">
        <v>81</v>
      </c>
    </row>
    <row r="16" spans="3:13" x14ac:dyDescent="0.25">
      <c r="C16" s="81" t="s">
        <v>82</v>
      </c>
      <c r="G16" s="68"/>
      <c r="K16" s="68"/>
      <c r="L16" s="79">
        <v>0.2</v>
      </c>
      <c r="M16" s="80"/>
    </row>
    <row r="19" spans="3:12" ht="18" x14ac:dyDescent="0.25">
      <c r="C19" s="112" t="s">
        <v>90</v>
      </c>
      <c r="D19" s="112"/>
      <c r="E19" s="112"/>
      <c r="F19" s="112"/>
      <c r="G19" s="112"/>
      <c r="H19" s="112"/>
      <c r="I19" s="112"/>
      <c r="J19" s="112"/>
      <c r="K19" s="112"/>
      <c r="L19" s="112"/>
    </row>
    <row r="20" spans="3:12" x14ac:dyDescent="0.25">
      <c r="C20" s="99" t="s">
        <v>92</v>
      </c>
      <c r="D20" s="99" t="s">
        <v>91</v>
      </c>
      <c r="E20" s="100" t="s">
        <v>66</v>
      </c>
      <c r="F20" s="100" t="s">
        <v>10</v>
      </c>
      <c r="G20" s="100" t="s">
        <v>14</v>
      </c>
      <c r="H20" s="101" t="s">
        <v>93</v>
      </c>
      <c r="I20" s="100" t="s">
        <v>94</v>
      </c>
      <c r="J20" s="100" t="s">
        <v>95</v>
      </c>
      <c r="K20" s="101" t="s">
        <v>96</v>
      </c>
      <c r="L20" s="100" t="s">
        <v>97</v>
      </c>
    </row>
    <row r="21" spans="3:12" x14ac:dyDescent="0.25">
      <c r="C21" s="77">
        <v>45782</v>
      </c>
      <c r="D21" s="77">
        <v>45795</v>
      </c>
      <c r="E21" s="28">
        <v>5</v>
      </c>
      <c r="F21" s="78" t="s">
        <v>13</v>
      </c>
      <c r="G21" s="122">
        <v>100</v>
      </c>
      <c r="H21" s="80">
        <v>950</v>
      </c>
      <c r="I21" s="80">
        <v>42</v>
      </c>
      <c r="J21" s="68">
        <v>198.4</v>
      </c>
      <c r="K21" s="80">
        <v>1190.4000000000001</v>
      </c>
      <c r="L21" s="80">
        <v>11.904</v>
      </c>
    </row>
  </sheetData>
  <mergeCells count="4">
    <mergeCell ref="D14:G14"/>
    <mergeCell ref="H14:K14"/>
    <mergeCell ref="L14:M14"/>
    <mergeCell ref="C19:L19"/>
  </mergeCells>
  <dataValidations count="1">
    <dataValidation type="decimal" allowBlank="1" showInputMessage="1" showErrorMessage="1" sqref="F15:F16" xr:uid="{E8472EC7-8B4D-49A4-9909-72E3BF657272}">
      <formula1>0.000000001</formula1>
      <formula2>1000000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CompletarOrd">
                <anchor moveWithCells="1" sizeWithCells="1">
                  <from>
                    <xdr:col>5</xdr:col>
                    <xdr:colOff>609600</xdr:colOff>
                    <xdr:row>8</xdr:row>
                    <xdr:rowOff>104775</xdr:rowOff>
                  </from>
                  <to>
                    <xdr:col>7</xdr:col>
                    <xdr:colOff>161925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CalcularTo">
                <anchor moveWithCells="1" sizeWithCells="1">
                  <from>
                    <xdr:col>8</xdr:col>
                    <xdr:colOff>695325</xdr:colOff>
                    <xdr:row>8</xdr:row>
                    <xdr:rowOff>85725</xdr:rowOff>
                  </from>
                  <to>
                    <xdr:col>10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4C192C-7ABF-41CE-9CF3-5CEFD7932592}">
          <x14:formula1>
            <xm:f>Configuracion!$D$2:$D$32</xm:f>
          </x14:formula1>
          <xm:sqref>E9 E11</xm:sqref>
        </x14:dataValidation>
        <x14:dataValidation type="list" allowBlank="1" showInputMessage="1" showErrorMessage="1" xr:uid="{DBAC7489-824A-437C-8133-585E82275675}">
          <x14:formula1>
            <xm:f>Configuracion!$B$2:$B$4</xm:f>
          </x14:formula1>
          <xm:sqref>E5:E6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78030-1E23-4B07-84AB-3B8A1592E3D0}">
  <sheetPr codeName="Hoja2"/>
  <dimension ref="B1:F19"/>
  <sheetViews>
    <sheetView showGridLines="0" zoomScale="88" workbookViewId="0">
      <selection activeCell="H12" sqref="H12"/>
    </sheetView>
  </sheetViews>
  <sheetFormatPr baseColWidth="10" defaultRowHeight="15.75" x14ac:dyDescent="0.25"/>
  <cols>
    <col min="1" max="1" width="11.42578125" style="28"/>
    <col min="2" max="2" width="20.42578125" style="28" bestFit="1" customWidth="1"/>
    <col min="3" max="3" width="21" style="28" customWidth="1"/>
    <col min="4" max="4" width="11.42578125" style="28"/>
    <col min="5" max="5" width="11.42578125" style="40"/>
    <col min="6" max="6" width="11.85546875" style="36" bestFit="1" customWidth="1"/>
    <col min="7" max="8" width="11.42578125" style="28"/>
    <col min="9" max="9" width="23.5703125" style="28" customWidth="1"/>
    <col min="10" max="10" width="16.5703125" style="28" customWidth="1"/>
    <col min="11" max="16384" width="11.42578125" style="28"/>
  </cols>
  <sheetData>
    <row r="1" spans="2:6" x14ac:dyDescent="0.25">
      <c r="E1" s="28"/>
      <c r="F1" s="28"/>
    </row>
    <row r="2" spans="2:6" x14ac:dyDescent="0.25">
      <c r="E2" s="28"/>
      <c r="F2" s="28"/>
    </row>
    <row r="3" spans="2:6" x14ac:dyDescent="0.25">
      <c r="B3" s="107" t="s">
        <v>9</v>
      </c>
      <c r="C3" s="108"/>
      <c r="E3" s="28"/>
      <c r="F3" s="28"/>
    </row>
    <row r="4" spans="2:6" x14ac:dyDescent="0.25">
      <c r="B4" s="18" t="s">
        <v>0</v>
      </c>
      <c r="C4" s="29"/>
      <c r="E4" s="28"/>
      <c r="F4" s="28"/>
    </row>
    <row r="5" spans="2:6" x14ac:dyDescent="0.25">
      <c r="B5" s="18" t="s">
        <v>1</v>
      </c>
      <c r="C5" s="30"/>
      <c r="E5" s="28"/>
      <c r="F5" s="28"/>
    </row>
    <row r="6" spans="2:6" x14ac:dyDescent="0.25">
      <c r="B6" s="18" t="s">
        <v>2</v>
      </c>
      <c r="C6" s="30"/>
      <c r="E6" s="28"/>
      <c r="F6" s="28"/>
    </row>
    <row r="7" spans="2:6" x14ac:dyDescent="0.25">
      <c r="B7" s="18" t="s">
        <v>10</v>
      </c>
      <c r="C7" s="31"/>
      <c r="E7" s="28"/>
      <c r="F7" s="28"/>
    </row>
    <row r="8" spans="2:6" x14ac:dyDescent="0.25">
      <c r="B8" s="18" t="s">
        <v>3</v>
      </c>
      <c r="C8" s="32"/>
      <c r="E8" s="28"/>
      <c r="F8" s="28"/>
    </row>
    <row r="9" spans="2:6" x14ac:dyDescent="0.25">
      <c r="E9" s="28"/>
      <c r="F9" s="28"/>
    </row>
    <row r="10" spans="2:6" x14ac:dyDescent="0.25">
      <c r="E10" s="28"/>
      <c r="F10" s="28"/>
    </row>
    <row r="11" spans="2:6" x14ac:dyDescent="0.25">
      <c r="B11" s="33"/>
      <c r="C11" s="34"/>
      <c r="D11" s="34"/>
      <c r="E11" s="35"/>
      <c r="F11" s="28"/>
    </row>
    <row r="12" spans="2:6" x14ac:dyDescent="0.25">
      <c r="E12" s="28"/>
      <c r="F12" s="28"/>
    </row>
    <row r="13" spans="2:6" x14ac:dyDescent="0.25">
      <c r="B13" s="102" t="s">
        <v>7</v>
      </c>
      <c r="C13" s="103"/>
      <c r="D13" s="103"/>
      <c r="E13" s="103"/>
      <c r="F13" s="104"/>
    </row>
    <row r="14" spans="2:6" ht="31.5" x14ac:dyDescent="0.25">
      <c r="B14" s="54" t="s">
        <v>0</v>
      </c>
      <c r="C14" s="41" t="s">
        <v>1</v>
      </c>
      <c r="D14" s="42" t="s">
        <v>4</v>
      </c>
      <c r="E14" s="41" t="s">
        <v>10</v>
      </c>
      <c r="F14" s="43" t="s">
        <v>3</v>
      </c>
    </row>
    <row r="15" spans="2:6" ht="47.25" x14ac:dyDescent="0.25">
      <c r="B15" s="56" t="s">
        <v>41</v>
      </c>
      <c r="C15" s="57">
        <v>12500</v>
      </c>
      <c r="D15" s="57">
        <v>4250</v>
      </c>
      <c r="E15" s="58" t="s">
        <v>12</v>
      </c>
      <c r="F15" s="59">
        <v>45785</v>
      </c>
    </row>
    <row r="16" spans="2:6" ht="31.5" x14ac:dyDescent="0.25">
      <c r="B16" s="56" t="s">
        <v>41</v>
      </c>
      <c r="C16" s="57">
        <v>10000</v>
      </c>
      <c r="D16" s="57">
        <v>3750</v>
      </c>
      <c r="E16" s="58" t="s">
        <v>11</v>
      </c>
      <c r="F16" s="59">
        <v>45781</v>
      </c>
    </row>
    <row r="17" spans="2:5" x14ac:dyDescent="0.25">
      <c r="B17" s="55" t="s">
        <v>5</v>
      </c>
      <c r="C17" s="30">
        <v>5000</v>
      </c>
      <c r="D17" s="30">
        <v>1000</v>
      </c>
      <c r="E17" s="31">
        <v>45935</v>
      </c>
    </row>
    <row r="19" spans="2:5" x14ac:dyDescent="0.25">
      <c r="B19" s="37"/>
      <c r="C19" s="38"/>
      <c r="D19" s="38"/>
      <c r="E19" s="39"/>
    </row>
  </sheetData>
  <mergeCells count="2">
    <mergeCell ref="B3:C3"/>
    <mergeCell ref="B13:F13"/>
  </mergeCells>
  <dataValidations count="1">
    <dataValidation type="decimal" allowBlank="1" showInputMessage="1" showErrorMessage="1" sqref="C5 C15:C16" xr:uid="{51B3DE30-33DB-4200-ABEA-EB76075FC0F5}">
      <formula1>1</formula1>
      <formula2>10000000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3BA99-4F65-4DBB-BC9C-A53F41BA5291}">
          <x14:formula1>
            <xm:f>Configuracion!$B$2:$B$4</xm:f>
          </x14:formula1>
          <xm:sqref>C7 E15:E16</xm:sqref>
        </x14:dataValidation>
        <x14:dataValidation type="list" allowBlank="1" showInputMessage="1" showErrorMessage="1" xr:uid="{4701D433-39D5-4FF9-8D2B-652757E76EB1}">
          <x14:formula1>
            <xm:f>Configuracion!$D$2:$D$32</xm:f>
          </x14:formula1>
          <xm:sqref>C8 F15:F16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9B407-C44B-41E6-819D-B1E343284DF9}">
  <sheetPr codeName="Hoja4"/>
  <dimension ref="B1:E17"/>
  <sheetViews>
    <sheetView showGridLines="0" workbookViewId="0">
      <selection activeCell="M8" sqref="M8"/>
    </sheetView>
  </sheetViews>
  <sheetFormatPr baseColWidth="10" defaultRowHeight="15.75" x14ac:dyDescent="0.25"/>
  <cols>
    <col min="1" max="1" width="11.42578125" style="3"/>
    <col min="2" max="2" width="11.42578125" style="6"/>
    <col min="3" max="3" width="18.85546875" style="6" customWidth="1"/>
    <col min="4" max="4" width="20.42578125" style="6" customWidth="1"/>
    <col min="5" max="5" width="13.140625" style="6" customWidth="1"/>
    <col min="6" max="16384" width="11.42578125" style="3"/>
  </cols>
  <sheetData>
    <row r="1" spans="2:5" x14ac:dyDescent="0.25">
      <c r="B1" s="3"/>
      <c r="C1" s="3"/>
      <c r="D1" s="3"/>
      <c r="E1" s="3"/>
    </row>
    <row r="2" spans="2:5" x14ac:dyDescent="0.25">
      <c r="B2" s="3"/>
      <c r="C2" s="3"/>
      <c r="D2" s="3"/>
      <c r="E2" s="3"/>
    </row>
    <row r="3" spans="2:5" x14ac:dyDescent="0.25">
      <c r="B3" s="3"/>
      <c r="C3" s="3"/>
      <c r="D3" s="3"/>
      <c r="E3" s="3"/>
    </row>
    <row r="4" spans="2:5" x14ac:dyDescent="0.25">
      <c r="B4" s="3"/>
      <c r="C4" s="116" t="s">
        <v>23</v>
      </c>
      <c r="D4" s="117"/>
      <c r="E4" s="3"/>
    </row>
    <row r="5" spans="2:5" x14ac:dyDescent="0.25">
      <c r="B5" s="3"/>
      <c r="C5" s="9" t="s">
        <v>3</v>
      </c>
      <c r="D5" s="7"/>
      <c r="E5" s="3"/>
    </row>
    <row r="6" spans="2:5" x14ac:dyDescent="0.25">
      <c r="B6" s="3"/>
      <c r="C6" s="9" t="s">
        <v>24</v>
      </c>
      <c r="D6" s="4"/>
      <c r="E6" s="3"/>
    </row>
    <row r="7" spans="2:5" x14ac:dyDescent="0.25">
      <c r="B7" s="3"/>
      <c r="C7" s="9" t="s">
        <v>25</v>
      </c>
      <c r="D7" s="5"/>
      <c r="E7" s="3"/>
    </row>
    <row r="8" spans="2:5" x14ac:dyDescent="0.25">
      <c r="B8" s="3"/>
      <c r="C8" s="9" t="s">
        <v>26</v>
      </c>
      <c r="D8" s="8"/>
      <c r="E8" s="3"/>
    </row>
    <row r="9" spans="2:5" x14ac:dyDescent="0.25">
      <c r="B9" s="3"/>
      <c r="C9" s="3"/>
      <c r="D9" s="3"/>
      <c r="E9" s="3"/>
    </row>
    <row r="10" spans="2:5" x14ac:dyDescent="0.25">
      <c r="B10" s="3"/>
      <c r="C10" s="3"/>
      <c r="D10" s="3"/>
      <c r="E10" s="3"/>
    </row>
    <row r="11" spans="2:5" x14ac:dyDescent="0.25">
      <c r="B11" s="3"/>
      <c r="C11" s="3"/>
      <c r="D11" s="3"/>
      <c r="E11" s="3"/>
    </row>
    <row r="12" spans="2:5" x14ac:dyDescent="0.25">
      <c r="B12" s="3"/>
      <c r="C12" s="3"/>
      <c r="D12" s="3"/>
      <c r="E12" s="3"/>
    </row>
    <row r="13" spans="2:5" x14ac:dyDescent="0.25">
      <c r="B13" s="113" t="s">
        <v>27</v>
      </c>
      <c r="C13" s="114"/>
      <c r="D13" s="114"/>
      <c r="E13" s="115"/>
    </row>
    <row r="14" spans="2:5" x14ac:dyDescent="0.25">
      <c r="B14" s="16" t="s">
        <v>3</v>
      </c>
      <c r="C14" s="16" t="s">
        <v>24</v>
      </c>
      <c r="D14" s="16" t="s">
        <v>25</v>
      </c>
      <c r="E14" s="16" t="s">
        <v>26</v>
      </c>
    </row>
    <row r="15" spans="2:5" x14ac:dyDescent="0.25">
      <c r="B15" s="7">
        <v>45804</v>
      </c>
      <c r="C15" s="4" t="s">
        <v>28</v>
      </c>
      <c r="D15" s="5" t="s">
        <v>37</v>
      </c>
      <c r="E15" s="8">
        <v>1500</v>
      </c>
    </row>
    <row r="16" spans="2:5" x14ac:dyDescent="0.25">
      <c r="B16" s="7">
        <v>45807</v>
      </c>
      <c r="C16" s="4" t="s">
        <v>28</v>
      </c>
      <c r="D16" s="5" t="s">
        <v>37</v>
      </c>
      <c r="E16" s="8">
        <v>750</v>
      </c>
    </row>
    <row r="17" spans="2:5" x14ac:dyDescent="0.25">
      <c r="B17" s="7">
        <v>45778</v>
      </c>
      <c r="C17" s="4" t="s">
        <v>34</v>
      </c>
      <c r="D17" s="5" t="s">
        <v>36</v>
      </c>
      <c r="E17" s="8">
        <v>1200</v>
      </c>
    </row>
  </sheetData>
  <mergeCells count="2">
    <mergeCell ref="B13:E13"/>
    <mergeCell ref="C4:D4"/>
  </mergeCells>
  <dataValidations count="1">
    <dataValidation type="decimal" allowBlank="1" showInputMessage="1" showErrorMessage="1" sqref="D8 E14:E17" xr:uid="{CD8DADD8-1F7B-46D9-9C78-7500791BDE13}">
      <formula1>0.0000001</formula1>
      <formula2>100000000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6A2C45-8A98-4DCE-A38B-49840A6C9610}">
          <x14:formula1>
            <xm:f>Configuracion!$D$2:$D$33</xm:f>
          </x14:formula1>
          <xm:sqref>D5 B14:B17</xm:sqref>
        </x14:dataValidation>
        <x14:dataValidation type="list" allowBlank="1" showInputMessage="1" showErrorMessage="1" xr:uid="{F8E3E278-F77A-4E66-9D41-C37C2B3A2035}">
          <x14:formula1>
            <xm:f>Configuracion!$G$2:$G$4</xm:f>
          </x14:formula1>
          <xm:sqref>D6 C14:C17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1060F-A9AA-414B-BF90-D187D24213AD}">
  <sheetPr codeName="Hoja7"/>
  <dimension ref="B1:O23"/>
  <sheetViews>
    <sheetView showGridLines="0" zoomScale="89" workbookViewId="0">
      <selection activeCell="I10" sqref="I10"/>
    </sheetView>
  </sheetViews>
  <sheetFormatPr baseColWidth="10" defaultRowHeight="15.75" x14ac:dyDescent="0.25"/>
  <cols>
    <col min="1" max="3" width="11.42578125" style="3"/>
    <col min="4" max="4" width="23.28515625" style="3" bestFit="1" customWidth="1"/>
    <col min="5" max="5" width="11.5703125" style="3" customWidth="1"/>
    <col min="6" max="6" width="16.28515625" style="48" customWidth="1"/>
    <col min="7" max="7" width="14.85546875" style="48" customWidth="1"/>
    <col min="8" max="8" width="19.5703125" style="48" customWidth="1"/>
    <col min="9" max="9" width="11.42578125" style="3"/>
    <col min="10" max="10" width="12.42578125" style="3" customWidth="1"/>
    <col min="11" max="11" width="20.140625" style="3" customWidth="1"/>
    <col min="12" max="12" width="20.5703125" style="44" customWidth="1"/>
    <col min="13" max="13" width="18.7109375" style="48" customWidth="1"/>
    <col min="14" max="14" width="16.5703125" style="48" customWidth="1"/>
    <col min="15" max="15" width="19" style="48" customWidth="1"/>
    <col min="16" max="16384" width="11.42578125" style="3"/>
  </cols>
  <sheetData>
    <row r="1" spans="2:15" x14ac:dyDescent="0.25">
      <c r="F1" s="3"/>
      <c r="G1" s="3"/>
      <c r="H1" s="3"/>
      <c r="L1" s="3"/>
      <c r="M1" s="3"/>
      <c r="N1" s="3"/>
      <c r="O1" s="3"/>
    </row>
    <row r="2" spans="2:15" x14ac:dyDescent="0.25">
      <c r="F2" s="3"/>
      <c r="G2" s="3"/>
      <c r="H2" s="3"/>
      <c r="L2" s="3"/>
      <c r="M2" s="3"/>
      <c r="N2" s="3"/>
      <c r="O2" s="3"/>
    </row>
    <row r="3" spans="2:15" x14ac:dyDescent="0.25">
      <c r="F3" s="3"/>
      <c r="G3" s="3"/>
      <c r="H3" s="3"/>
      <c r="L3" s="3"/>
      <c r="M3" s="3"/>
      <c r="N3" s="3"/>
      <c r="O3" s="3"/>
    </row>
    <row r="4" spans="2:15" x14ac:dyDescent="0.25">
      <c r="F4" s="3"/>
      <c r="G4" s="3"/>
      <c r="H4" s="3"/>
      <c r="L4" s="3"/>
      <c r="M4" s="3"/>
      <c r="N4" s="3"/>
      <c r="O4" s="3"/>
    </row>
    <row r="5" spans="2:15" x14ac:dyDescent="0.25">
      <c r="C5" s="116" t="s">
        <v>38</v>
      </c>
      <c r="D5" s="118"/>
      <c r="E5" s="118"/>
      <c r="F5" s="118"/>
      <c r="G5" s="118"/>
      <c r="H5" s="117"/>
      <c r="J5" s="119" t="s">
        <v>39</v>
      </c>
      <c r="K5" s="120"/>
      <c r="L5" s="120"/>
      <c r="M5" s="120"/>
      <c r="N5" s="120"/>
      <c r="O5" s="121"/>
    </row>
    <row r="6" spans="2:15" x14ac:dyDescent="0.25">
      <c r="C6" s="11" t="s">
        <v>3</v>
      </c>
      <c r="D6" s="11" t="s">
        <v>25</v>
      </c>
      <c r="E6" s="11" t="s">
        <v>31</v>
      </c>
      <c r="F6" s="11" t="s">
        <v>32</v>
      </c>
      <c r="G6" s="11" t="s">
        <v>33</v>
      </c>
      <c r="H6" s="11" t="s">
        <v>30</v>
      </c>
      <c r="J6" s="11" t="s">
        <v>3</v>
      </c>
      <c r="K6" s="11" t="s">
        <v>0</v>
      </c>
      <c r="L6" s="11" t="s">
        <v>10</v>
      </c>
      <c r="M6" s="11" t="s">
        <v>32</v>
      </c>
      <c r="N6" s="11" t="s">
        <v>33</v>
      </c>
      <c r="O6" s="11" t="s">
        <v>30</v>
      </c>
    </row>
    <row r="7" spans="2:15" ht="31.5" x14ac:dyDescent="0.25">
      <c r="C7" s="15">
        <v>45805</v>
      </c>
      <c r="D7" s="14" t="s">
        <v>46</v>
      </c>
      <c r="E7" s="14" t="s">
        <v>17</v>
      </c>
      <c r="F7" s="46">
        <v>750</v>
      </c>
      <c r="G7" s="46">
        <v>97.5</v>
      </c>
      <c r="H7" s="46">
        <v>847.5</v>
      </c>
      <c r="J7" s="45">
        <v>45785</v>
      </c>
      <c r="K7" s="3" t="s">
        <v>41</v>
      </c>
      <c r="L7" s="44" t="s">
        <v>12</v>
      </c>
      <c r="M7" s="48">
        <v>12500</v>
      </c>
      <c r="N7" s="48">
        <v>1625</v>
      </c>
      <c r="O7" s="48">
        <v>14125</v>
      </c>
    </row>
    <row r="8" spans="2:15" x14ac:dyDescent="0.25">
      <c r="C8" s="15">
        <v>45804</v>
      </c>
      <c r="D8" s="14" t="s">
        <v>46</v>
      </c>
      <c r="E8" s="14" t="s">
        <v>17</v>
      </c>
      <c r="F8" s="46">
        <v>562.5</v>
      </c>
      <c r="G8" s="46">
        <v>73.125</v>
      </c>
      <c r="H8" s="46">
        <v>635.625</v>
      </c>
      <c r="J8" s="45">
        <v>45781</v>
      </c>
      <c r="M8" s="48">
        <v>10000</v>
      </c>
      <c r="N8" s="48">
        <v>1300</v>
      </c>
      <c r="O8" s="48">
        <v>11300</v>
      </c>
    </row>
    <row r="9" spans="2:15" x14ac:dyDescent="0.25">
      <c r="C9" s="15">
        <v>45778</v>
      </c>
      <c r="D9" s="14" t="s">
        <v>36</v>
      </c>
      <c r="E9" s="14" t="s">
        <v>34</v>
      </c>
      <c r="F9" s="46">
        <v>1200</v>
      </c>
      <c r="G9" s="46">
        <v>156</v>
      </c>
      <c r="H9" s="46">
        <v>1356</v>
      </c>
    </row>
    <row r="10" spans="2:15" x14ac:dyDescent="0.25">
      <c r="C10" s="15">
        <v>45798</v>
      </c>
      <c r="D10" s="14" t="s">
        <v>21</v>
      </c>
      <c r="E10" s="14" t="s">
        <v>17</v>
      </c>
      <c r="F10" s="46">
        <v>2250</v>
      </c>
      <c r="G10" s="46">
        <v>292.5</v>
      </c>
      <c r="H10" s="46">
        <v>2542.5</v>
      </c>
    </row>
    <row r="11" spans="2:15" x14ac:dyDescent="0.25">
      <c r="C11" s="15">
        <v>45797</v>
      </c>
      <c r="D11" s="14" t="s">
        <v>35</v>
      </c>
      <c r="E11" s="14" t="s">
        <v>17</v>
      </c>
      <c r="F11" s="46">
        <v>937.5</v>
      </c>
      <c r="G11" s="46">
        <v>121.875</v>
      </c>
      <c r="H11" s="46">
        <v>1059.375</v>
      </c>
    </row>
    <row r="12" spans="2:15" x14ac:dyDescent="0.25">
      <c r="C12" s="15">
        <v>45797</v>
      </c>
      <c r="D12" s="14" t="s">
        <v>35</v>
      </c>
      <c r="E12" s="14" t="s">
        <v>17</v>
      </c>
      <c r="F12" s="46">
        <v>1050</v>
      </c>
      <c r="G12" s="46">
        <v>136.5</v>
      </c>
      <c r="H12" s="46">
        <v>1186.5</v>
      </c>
    </row>
    <row r="13" spans="2:15" x14ac:dyDescent="0.25">
      <c r="C13" s="10"/>
      <c r="D13" s="10"/>
      <c r="E13" s="10"/>
      <c r="F13" s="47"/>
      <c r="G13" s="47"/>
      <c r="H13" s="47"/>
    </row>
    <row r="14" spans="2:15" x14ac:dyDescent="0.25">
      <c r="C14" s="10"/>
      <c r="D14" s="10"/>
      <c r="E14" s="10"/>
      <c r="F14" s="47"/>
      <c r="G14" s="47"/>
      <c r="H14" s="47"/>
    </row>
    <row r="15" spans="2:15" x14ac:dyDescent="0.25">
      <c r="B15" s="13"/>
    </row>
    <row r="16" spans="2:15" x14ac:dyDescent="0.25">
      <c r="B16" s="13"/>
      <c r="H16" s="49"/>
    </row>
    <row r="17" spans="2:6" x14ac:dyDescent="0.25">
      <c r="B17" s="13"/>
    </row>
    <row r="20" spans="2:6" x14ac:dyDescent="0.25">
      <c r="C20" s="14"/>
      <c r="D20" s="14"/>
      <c r="E20" s="10"/>
    </row>
    <row r="21" spans="2:6" x14ac:dyDescent="0.25">
      <c r="C21" s="14"/>
      <c r="D21" s="14"/>
      <c r="E21" s="10"/>
      <c r="F21" s="47"/>
    </row>
    <row r="22" spans="2:6" x14ac:dyDescent="0.25">
      <c r="C22" s="14"/>
      <c r="D22" s="14"/>
      <c r="E22" s="12"/>
      <c r="F22" s="47"/>
    </row>
    <row r="23" spans="2:6" x14ac:dyDescent="0.25">
      <c r="F23" s="50"/>
    </row>
  </sheetData>
  <mergeCells count="2">
    <mergeCell ref="C5:H5"/>
    <mergeCell ref="J5:O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A7D3B-3515-464C-AF0D-68EB42FE903E}">
  <sheetPr codeName="Hoja8"/>
  <dimension ref="A1"/>
  <sheetViews>
    <sheetView workbookViewId="0">
      <selection activeCell="E8" sqref="E8"/>
    </sheetView>
  </sheetViews>
  <sheetFormatPr baseColWidth="10" defaultRowHeight="15.75" x14ac:dyDescent="0.25"/>
  <cols>
    <col min="1" max="16384" width="11.42578125" style="28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7C953-E79A-4A5F-928E-7C6F750CCEF2}">
  <sheetPr codeName="Hoja6"/>
  <dimension ref="B2:G33"/>
  <sheetViews>
    <sheetView workbookViewId="0">
      <selection activeCell="I8" sqref="I8"/>
    </sheetView>
  </sheetViews>
  <sheetFormatPr baseColWidth="10" defaultRowHeight="15" x14ac:dyDescent="0.25"/>
  <cols>
    <col min="2" max="2" width="24.5703125" bestFit="1" customWidth="1"/>
    <col min="4" max="4" width="15" customWidth="1"/>
    <col min="7" max="7" width="12.5703125" customWidth="1"/>
  </cols>
  <sheetData>
    <row r="2" spans="2:7" x14ac:dyDescent="0.25">
      <c r="B2" t="s">
        <v>11</v>
      </c>
      <c r="D2" s="2">
        <f ca="1">DATE(YEAR(TODAY()), MONTH(TODAY()), 1)</f>
        <v>45809</v>
      </c>
      <c r="F2" t="s">
        <v>17</v>
      </c>
      <c r="G2" t="s">
        <v>28</v>
      </c>
    </row>
    <row r="3" spans="2:7" x14ac:dyDescent="0.25">
      <c r="B3" t="s">
        <v>12</v>
      </c>
      <c r="D3" s="2">
        <f ca="1">IF(MONTH(D2+1)=MONTH(D2), D2+1, "")</f>
        <v>45810</v>
      </c>
      <c r="F3" t="s">
        <v>18</v>
      </c>
      <c r="G3" t="s">
        <v>34</v>
      </c>
    </row>
    <row r="4" spans="2:7" x14ac:dyDescent="0.25">
      <c r="B4" t="s">
        <v>13</v>
      </c>
      <c r="D4" s="2">
        <f t="shared" ref="D4:D31" ca="1" si="0">IF(MONTH(D3+1)=MONTH(D3), D3+1, "")</f>
        <v>45811</v>
      </c>
      <c r="G4" t="s">
        <v>29</v>
      </c>
    </row>
    <row r="5" spans="2:7" x14ac:dyDescent="0.25">
      <c r="D5" s="2">
        <f t="shared" ca="1" si="0"/>
        <v>45812</v>
      </c>
    </row>
    <row r="6" spans="2:7" x14ac:dyDescent="0.25">
      <c r="D6" s="2">
        <f t="shared" ca="1" si="0"/>
        <v>45813</v>
      </c>
    </row>
    <row r="7" spans="2:7" ht="30" x14ac:dyDescent="0.25">
      <c r="D7" s="2">
        <f t="shared" ca="1" si="0"/>
        <v>45814</v>
      </c>
      <c r="F7" s="51" t="s">
        <v>42</v>
      </c>
      <c r="G7" s="51" t="s">
        <v>43</v>
      </c>
    </row>
    <row r="8" spans="2:7" ht="105" x14ac:dyDescent="0.25">
      <c r="D8" s="2">
        <f t="shared" ca="1" si="0"/>
        <v>45815</v>
      </c>
      <c r="F8" s="53" t="s">
        <v>44</v>
      </c>
      <c r="G8" s="52" t="s">
        <v>45</v>
      </c>
    </row>
    <row r="9" spans="2:7" ht="60" x14ac:dyDescent="0.25">
      <c r="D9" s="2">
        <f t="shared" ca="1" si="0"/>
        <v>45816</v>
      </c>
      <c r="F9" s="53" t="s">
        <v>46</v>
      </c>
      <c r="G9" s="52" t="s">
        <v>47</v>
      </c>
    </row>
    <row r="10" spans="2:7" ht="75" x14ac:dyDescent="0.25">
      <c r="D10" s="2">
        <f t="shared" ca="1" si="0"/>
        <v>45817</v>
      </c>
      <c r="F10" s="53" t="s">
        <v>48</v>
      </c>
      <c r="G10" s="52" t="s">
        <v>49</v>
      </c>
    </row>
    <row r="11" spans="2:7" ht="45" x14ac:dyDescent="0.25">
      <c r="D11" s="2">
        <f t="shared" ca="1" si="0"/>
        <v>45818</v>
      </c>
      <c r="F11" s="53" t="s">
        <v>50</v>
      </c>
      <c r="G11" s="52" t="s">
        <v>51</v>
      </c>
    </row>
    <row r="12" spans="2:7" ht="90" x14ac:dyDescent="0.25">
      <c r="D12" s="2">
        <f t="shared" ca="1" si="0"/>
        <v>45819</v>
      </c>
      <c r="F12" s="53" t="s">
        <v>52</v>
      </c>
      <c r="G12" s="52" t="s">
        <v>53</v>
      </c>
    </row>
    <row r="13" spans="2:7" ht="75" x14ac:dyDescent="0.25">
      <c r="D13" s="2">
        <f t="shared" ca="1" si="0"/>
        <v>45820</v>
      </c>
      <c r="F13" s="53" t="s">
        <v>54</v>
      </c>
      <c r="G13" s="52" t="s">
        <v>55</v>
      </c>
    </row>
    <row r="14" spans="2:7" x14ac:dyDescent="0.25">
      <c r="D14" s="2">
        <f t="shared" ca="1" si="0"/>
        <v>45821</v>
      </c>
    </row>
    <row r="15" spans="2:7" x14ac:dyDescent="0.25">
      <c r="D15" s="2">
        <f t="shared" ca="1" si="0"/>
        <v>45822</v>
      </c>
    </row>
    <row r="16" spans="2:7" x14ac:dyDescent="0.25">
      <c r="D16" s="2">
        <f t="shared" ca="1" si="0"/>
        <v>45823</v>
      </c>
    </row>
    <row r="17" spans="4:4" x14ac:dyDescent="0.25">
      <c r="D17" s="2">
        <f t="shared" ca="1" si="0"/>
        <v>45824</v>
      </c>
    </row>
    <row r="18" spans="4:4" x14ac:dyDescent="0.25">
      <c r="D18" s="2">
        <f t="shared" ca="1" si="0"/>
        <v>45825</v>
      </c>
    </row>
    <row r="19" spans="4:4" x14ac:dyDescent="0.25">
      <c r="D19" s="2">
        <f t="shared" ca="1" si="0"/>
        <v>45826</v>
      </c>
    </row>
    <row r="20" spans="4:4" x14ac:dyDescent="0.25">
      <c r="D20" s="2">
        <f t="shared" ca="1" si="0"/>
        <v>45827</v>
      </c>
    </row>
    <row r="21" spans="4:4" x14ac:dyDescent="0.25">
      <c r="D21" s="2">
        <f t="shared" ca="1" si="0"/>
        <v>45828</v>
      </c>
    </row>
    <row r="22" spans="4:4" x14ac:dyDescent="0.25">
      <c r="D22" s="2">
        <f t="shared" ca="1" si="0"/>
        <v>45829</v>
      </c>
    </row>
    <row r="23" spans="4:4" x14ac:dyDescent="0.25">
      <c r="D23" s="2">
        <f t="shared" ca="1" si="0"/>
        <v>45830</v>
      </c>
    </row>
    <row r="24" spans="4:4" x14ac:dyDescent="0.25">
      <c r="D24" s="2">
        <f t="shared" ca="1" si="0"/>
        <v>45831</v>
      </c>
    </row>
    <row r="25" spans="4:4" x14ac:dyDescent="0.25">
      <c r="D25" s="2">
        <f t="shared" ca="1" si="0"/>
        <v>45832</v>
      </c>
    </row>
    <row r="26" spans="4:4" x14ac:dyDescent="0.25">
      <c r="D26" s="2">
        <f t="shared" ca="1" si="0"/>
        <v>45833</v>
      </c>
    </row>
    <row r="27" spans="4:4" x14ac:dyDescent="0.25">
      <c r="D27" s="2">
        <f t="shared" ca="1" si="0"/>
        <v>45834</v>
      </c>
    </row>
    <row r="28" spans="4:4" x14ac:dyDescent="0.25">
      <c r="D28" s="2">
        <f t="shared" ca="1" si="0"/>
        <v>45835</v>
      </c>
    </row>
    <row r="29" spans="4:4" x14ac:dyDescent="0.25">
      <c r="D29" s="2">
        <f t="shared" ca="1" si="0"/>
        <v>45836</v>
      </c>
    </row>
    <row r="30" spans="4:4" x14ac:dyDescent="0.25">
      <c r="D30" s="2">
        <f t="shared" ca="1" si="0"/>
        <v>45837</v>
      </c>
    </row>
    <row r="31" spans="4:4" x14ac:dyDescent="0.25">
      <c r="D31" s="2">
        <f t="shared" ca="1" si="0"/>
        <v>45838</v>
      </c>
    </row>
    <row r="32" spans="4:4" x14ac:dyDescent="0.25">
      <c r="D32" s="2" t="str">
        <f ca="1">IF(MONTH(D31+1)=MONTH(D31), D31+1, "")</f>
        <v/>
      </c>
    </row>
    <row r="33" spans="4:4" x14ac:dyDescent="0.25">
      <c r="D33" s="2" t="e">
        <f ca="1">IF(MONTH(D32+1)=MONTH(D32), D32+1, "")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Inventario</vt:lpstr>
      <vt:lpstr>Registro MOD</vt:lpstr>
      <vt:lpstr>Hoja de Costos</vt:lpstr>
      <vt:lpstr>Ventas</vt:lpstr>
      <vt:lpstr>Gastos</vt:lpstr>
      <vt:lpstr>IVA Registro</vt:lpstr>
      <vt:lpstr>Estados Financieros</vt:lpstr>
      <vt:lpstr>Configuracion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Bonilla</dc:creator>
  <cp:lastModifiedBy>Cristian Bonilla</cp:lastModifiedBy>
  <dcterms:created xsi:type="dcterms:W3CDTF">2025-05-09T03:16:25Z</dcterms:created>
  <dcterms:modified xsi:type="dcterms:W3CDTF">2025-06-02T22:10:11Z</dcterms:modified>
</cp:coreProperties>
</file>